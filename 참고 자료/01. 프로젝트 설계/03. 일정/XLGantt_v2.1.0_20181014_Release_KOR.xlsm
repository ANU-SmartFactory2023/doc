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mc:AlternateContent xmlns:mc="http://schemas.openxmlformats.org/markup-compatibility/2006">
    <mc:Choice Requires="x15">
      <x15ac:absPath xmlns:x15ac="http://schemas.microsoft.com/office/spreadsheetml/2010/11/ac" url="C:\git test\doc\참고 자료\01. 프로젝트 설계\03. 일정\"/>
    </mc:Choice>
  </mc:AlternateContent>
  <xr:revisionPtr revIDLastSave="0" documentId="13_ncr:1_{7A56DB09-C769-4DB7-A619-1CCC96F163F1}" xr6:coauthVersionLast="47" xr6:coauthVersionMax="47" xr10:uidLastSave="{00000000-0000-0000-0000-000000000000}"/>
  <bookViews>
    <workbookView xWindow="-28920" yWindow="-120" windowWidth="29040" windowHeight="15840" tabRatio="535" firstSheet="3" activeTab="3" xr2:uid="{00000000-000D-0000-FFFF-FFFF00000000}"/>
  </bookViews>
  <sheets>
    <sheet name="Settings" sheetId="1" state="veryHidden" r:id="rId1"/>
    <sheet name="TranslatedLanguages" sheetId="2" state="hidden" r:id="rId2"/>
    <sheet name="Workload" sheetId="3" state="veryHidden" r:id="rId3"/>
    <sheet name="Schedule" sheetId="4" r:id="rId4"/>
    <sheet name="Progress" sheetId="5" r:id="rId5"/>
    <sheet name="AnalysisReport" sheetId="6" r:id="rId6"/>
    <sheet name="Calendar" sheetId="7" r:id="rId7"/>
    <sheet name="Sheet1" sheetId="8" r:id="rId8"/>
  </sheets>
  <functionGroups builtInGroupCount="19"/>
  <externalReferences>
    <externalReference r:id="rId9"/>
  </externalReferences>
  <definedNames>
    <definedName name="_xlnm._FilterDatabase" localSheetId="3" hidden="1">Schedule!$M$3:$AB$56</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5" i="4" l="1"/>
  <c r="AJ5" i="4"/>
  <c r="AE6" i="4"/>
  <c r="AD7" i="4"/>
  <c r="AE8" i="4"/>
  <c r="AD9" i="4"/>
  <c r="AD10" i="4"/>
  <c r="AD11" i="4"/>
  <c r="AI11" i="4"/>
  <c r="AD12" i="4"/>
  <c r="AE13" i="4"/>
  <c r="AF14" i="4"/>
  <c r="AG15" i="4"/>
  <c r="AH16" i="4"/>
  <c r="AI17" i="4"/>
  <c r="AI18" i="4"/>
  <c r="AI19" i="4"/>
  <c r="AI20" i="4"/>
  <c r="AI21" i="4"/>
  <c r="AD22" i="4"/>
  <c r="AI22" i="4"/>
  <c r="AD23" i="4"/>
  <c r="AD24" i="4"/>
  <c r="AD25" i="4"/>
  <c r="AD26" i="4"/>
  <c r="AD27" i="4"/>
  <c r="AD28" i="4"/>
  <c r="AD29" i="4"/>
  <c r="AD30" i="4"/>
  <c r="AD31" i="4"/>
  <c r="AD32" i="4"/>
  <c r="AD33" i="4"/>
  <c r="AE34" i="4"/>
  <c r="AE35" i="4"/>
  <c r="AI35" i="4"/>
  <c r="AE36" i="4"/>
  <c r="AE37" i="4"/>
  <c r="AH46" i="4"/>
  <c r="AH47" i="4"/>
  <c r="AH48" i="4"/>
  <c r="I304" i="7" l="1"/>
  <c r="F304" i="7"/>
  <c r="C304" i="7"/>
  <c r="I303" i="7"/>
  <c r="F303" i="7"/>
  <c r="C303" i="7"/>
  <c r="I302" i="7"/>
  <c r="F302" i="7"/>
  <c r="C302" i="7"/>
  <c r="I301" i="7"/>
  <c r="F301" i="7"/>
  <c r="C301" i="7"/>
  <c r="I300" i="7"/>
  <c r="F300" i="7"/>
  <c r="C300" i="7"/>
  <c r="I299" i="7"/>
  <c r="F299" i="7"/>
  <c r="C299" i="7"/>
  <c r="I298" i="7"/>
  <c r="F298" i="7"/>
  <c r="C298" i="7"/>
  <c r="I297" i="7"/>
  <c r="F297" i="7"/>
  <c r="C297" i="7"/>
  <c r="I296" i="7"/>
  <c r="F296" i="7"/>
  <c r="C296" i="7"/>
  <c r="I295" i="7"/>
  <c r="F295" i="7"/>
  <c r="C295" i="7"/>
  <c r="I294" i="7"/>
  <c r="F294" i="7"/>
  <c r="C294" i="7"/>
  <c r="I293" i="7"/>
  <c r="F293" i="7"/>
  <c r="C293" i="7"/>
  <c r="I292" i="7"/>
  <c r="F292" i="7"/>
  <c r="C292" i="7"/>
  <c r="I291" i="7"/>
  <c r="F291" i="7"/>
  <c r="C291" i="7"/>
  <c r="I290" i="7"/>
  <c r="F290" i="7"/>
  <c r="C290" i="7"/>
  <c r="I289" i="7"/>
  <c r="F289" i="7"/>
  <c r="C289" i="7"/>
  <c r="I288" i="7"/>
  <c r="F288" i="7"/>
  <c r="C288" i="7"/>
  <c r="I287" i="7"/>
  <c r="F287" i="7"/>
  <c r="C287" i="7"/>
  <c r="I286" i="7"/>
  <c r="F286" i="7"/>
  <c r="C286" i="7"/>
  <c r="I285" i="7"/>
  <c r="F285" i="7"/>
  <c r="C285" i="7"/>
  <c r="I284" i="7"/>
  <c r="F284" i="7"/>
  <c r="C284" i="7"/>
  <c r="I283" i="7"/>
  <c r="F283" i="7"/>
  <c r="C283" i="7"/>
  <c r="I282" i="7"/>
  <c r="F282" i="7"/>
  <c r="C282" i="7"/>
  <c r="I281" i="7"/>
  <c r="F281" i="7"/>
  <c r="C281" i="7"/>
  <c r="I280" i="7"/>
  <c r="F280" i="7"/>
  <c r="C280" i="7"/>
  <c r="I279" i="7"/>
  <c r="F279" i="7"/>
  <c r="C279" i="7"/>
  <c r="I278" i="7"/>
  <c r="F278" i="7"/>
  <c r="C278" i="7"/>
  <c r="I277" i="7"/>
  <c r="F277" i="7"/>
  <c r="C277" i="7"/>
  <c r="I276" i="7"/>
  <c r="F276" i="7"/>
  <c r="C276" i="7"/>
  <c r="I275" i="7"/>
  <c r="F275" i="7"/>
  <c r="C275" i="7"/>
  <c r="I274" i="7"/>
  <c r="F274" i="7"/>
  <c r="C274" i="7"/>
  <c r="I273" i="7"/>
  <c r="F273" i="7"/>
  <c r="C273" i="7"/>
  <c r="I272" i="7"/>
  <c r="F272" i="7"/>
  <c r="C272" i="7"/>
  <c r="I271" i="7"/>
  <c r="F271" i="7"/>
  <c r="C271" i="7"/>
  <c r="I270" i="7"/>
  <c r="F270" i="7"/>
  <c r="C270" i="7"/>
  <c r="I269" i="7"/>
  <c r="F269" i="7"/>
  <c r="C269" i="7"/>
  <c r="I268" i="7"/>
  <c r="F268" i="7"/>
  <c r="C268" i="7"/>
  <c r="I267" i="7"/>
  <c r="F267" i="7"/>
  <c r="C267" i="7"/>
  <c r="I266" i="7"/>
  <c r="F266" i="7"/>
  <c r="C266" i="7"/>
  <c r="I265" i="7"/>
  <c r="F265" i="7"/>
  <c r="C265" i="7"/>
  <c r="I264" i="7"/>
  <c r="F264" i="7"/>
  <c r="C264" i="7"/>
  <c r="I263" i="7"/>
  <c r="F263" i="7"/>
  <c r="C263" i="7"/>
  <c r="I262" i="7"/>
  <c r="F262" i="7"/>
  <c r="C262" i="7"/>
  <c r="I261" i="7"/>
  <c r="F261" i="7"/>
  <c r="C261" i="7"/>
  <c r="I260" i="7"/>
  <c r="F260" i="7"/>
  <c r="C260" i="7"/>
  <c r="I259" i="7"/>
  <c r="F259" i="7"/>
  <c r="C259" i="7"/>
  <c r="I258" i="7"/>
  <c r="F258" i="7"/>
  <c r="C258" i="7"/>
  <c r="I257" i="7"/>
  <c r="F257" i="7"/>
  <c r="C257" i="7"/>
  <c r="I256" i="7"/>
  <c r="F256" i="7"/>
  <c r="C256" i="7"/>
  <c r="I255" i="7"/>
  <c r="F255" i="7"/>
  <c r="C255" i="7"/>
  <c r="I254" i="7"/>
  <c r="F254" i="7"/>
  <c r="C254" i="7"/>
  <c r="I253" i="7"/>
  <c r="F253" i="7"/>
  <c r="C253" i="7"/>
  <c r="I252" i="7"/>
  <c r="F252" i="7"/>
  <c r="C252" i="7"/>
  <c r="I251" i="7"/>
  <c r="F251" i="7"/>
  <c r="C251" i="7"/>
  <c r="I250" i="7"/>
  <c r="F250" i="7"/>
  <c r="C250" i="7"/>
  <c r="I249" i="7"/>
  <c r="F249" i="7"/>
  <c r="C249" i="7"/>
  <c r="I248" i="7"/>
  <c r="F248" i="7"/>
  <c r="C248" i="7"/>
  <c r="I247" i="7"/>
  <c r="F247" i="7"/>
  <c r="C247" i="7"/>
  <c r="I246" i="7"/>
  <c r="F246" i="7"/>
  <c r="C246" i="7"/>
  <c r="I245" i="7"/>
  <c r="F245" i="7"/>
  <c r="C245" i="7"/>
  <c r="I244" i="7"/>
  <c r="F244" i="7"/>
  <c r="C244" i="7"/>
  <c r="I243" i="7"/>
  <c r="F243" i="7"/>
  <c r="C243" i="7"/>
  <c r="I242" i="7"/>
  <c r="F242" i="7"/>
  <c r="C242" i="7"/>
  <c r="I241" i="7"/>
  <c r="F241" i="7"/>
  <c r="C241" i="7"/>
  <c r="I240" i="7"/>
  <c r="F240" i="7"/>
  <c r="C240" i="7"/>
  <c r="I239" i="7"/>
  <c r="F239" i="7"/>
  <c r="C239" i="7"/>
  <c r="I238" i="7"/>
  <c r="F238" i="7"/>
  <c r="C238" i="7"/>
  <c r="I237" i="7"/>
  <c r="F237" i="7"/>
  <c r="C237" i="7"/>
  <c r="I236" i="7"/>
  <c r="F236" i="7"/>
  <c r="C236" i="7"/>
  <c r="I235" i="7"/>
  <c r="F235" i="7"/>
  <c r="C235" i="7"/>
  <c r="I234" i="7"/>
  <c r="F234" i="7"/>
  <c r="C234" i="7"/>
  <c r="I233" i="7"/>
  <c r="F233" i="7"/>
  <c r="C233" i="7"/>
  <c r="I232" i="7"/>
  <c r="F232" i="7"/>
  <c r="C232" i="7"/>
  <c r="I231" i="7"/>
  <c r="F231" i="7"/>
  <c r="C231" i="7"/>
  <c r="I230" i="7"/>
  <c r="F230" i="7"/>
  <c r="C230" i="7"/>
  <c r="I229" i="7"/>
  <c r="F229" i="7"/>
  <c r="C229" i="7"/>
  <c r="I228" i="7"/>
  <c r="F228" i="7"/>
  <c r="C228" i="7"/>
  <c r="I227" i="7"/>
  <c r="F227" i="7"/>
  <c r="C227" i="7"/>
  <c r="I226" i="7"/>
  <c r="F226" i="7"/>
  <c r="C226" i="7"/>
  <c r="I225" i="7"/>
  <c r="F225" i="7"/>
  <c r="C225" i="7"/>
  <c r="I224" i="7"/>
  <c r="F224" i="7"/>
  <c r="C224" i="7"/>
  <c r="I223" i="7"/>
  <c r="F223" i="7"/>
  <c r="C223" i="7"/>
  <c r="I222" i="7"/>
  <c r="F222" i="7"/>
  <c r="C222" i="7"/>
  <c r="I221" i="7"/>
  <c r="F221" i="7"/>
  <c r="C221" i="7"/>
  <c r="I220" i="7"/>
  <c r="F220" i="7"/>
  <c r="C220" i="7"/>
  <c r="I219" i="7"/>
  <c r="F219" i="7"/>
  <c r="C219" i="7"/>
  <c r="I218" i="7"/>
  <c r="F218" i="7"/>
  <c r="C218" i="7"/>
  <c r="I217" i="7"/>
  <c r="F217" i="7"/>
  <c r="C217" i="7"/>
  <c r="I216" i="7"/>
  <c r="F216" i="7"/>
  <c r="C216" i="7"/>
  <c r="I215" i="7"/>
  <c r="F215" i="7"/>
  <c r="C215" i="7"/>
  <c r="I214" i="7"/>
  <c r="F214" i="7"/>
  <c r="C214" i="7"/>
  <c r="I213" i="7"/>
  <c r="F213" i="7"/>
  <c r="C213" i="7"/>
  <c r="I212" i="7"/>
  <c r="F212" i="7"/>
  <c r="C212" i="7"/>
  <c r="I211" i="7"/>
  <c r="F211" i="7"/>
  <c r="C211" i="7"/>
  <c r="I210" i="7"/>
  <c r="F210" i="7"/>
  <c r="C210" i="7"/>
  <c r="I209" i="7"/>
  <c r="F209" i="7"/>
  <c r="C209" i="7"/>
  <c r="I208" i="7"/>
  <c r="F208" i="7"/>
  <c r="C208" i="7"/>
  <c r="I207" i="7"/>
  <c r="F207" i="7"/>
  <c r="C207" i="7"/>
  <c r="I206" i="7"/>
  <c r="F206" i="7"/>
  <c r="C206" i="7"/>
  <c r="I205" i="7"/>
  <c r="F205" i="7"/>
  <c r="C205" i="7"/>
  <c r="I204" i="7"/>
  <c r="F204" i="7"/>
  <c r="C204" i="7"/>
  <c r="I203" i="7"/>
  <c r="F203" i="7"/>
  <c r="C203" i="7"/>
  <c r="I202" i="7"/>
  <c r="F202" i="7"/>
  <c r="C202" i="7"/>
  <c r="I201" i="7"/>
  <c r="F201" i="7"/>
  <c r="C201" i="7"/>
  <c r="I200" i="7"/>
  <c r="F200" i="7"/>
  <c r="C200" i="7"/>
  <c r="I199" i="7"/>
  <c r="F199" i="7"/>
  <c r="C199" i="7"/>
  <c r="I198" i="7"/>
  <c r="F198" i="7"/>
  <c r="C198" i="7"/>
  <c r="I197" i="7"/>
  <c r="F197" i="7"/>
  <c r="C197" i="7"/>
  <c r="I196" i="7"/>
  <c r="F196" i="7"/>
  <c r="C196" i="7"/>
  <c r="I195" i="7"/>
  <c r="F195" i="7"/>
  <c r="C195" i="7"/>
  <c r="I194" i="7"/>
  <c r="F194" i="7"/>
  <c r="C194" i="7"/>
  <c r="I193" i="7"/>
  <c r="F193" i="7"/>
  <c r="C193" i="7"/>
  <c r="I192" i="7"/>
  <c r="F192" i="7"/>
  <c r="C192" i="7"/>
  <c r="I191" i="7"/>
  <c r="F191" i="7"/>
  <c r="C191" i="7"/>
  <c r="I190" i="7"/>
  <c r="F190" i="7"/>
  <c r="C190" i="7"/>
  <c r="I189" i="7"/>
  <c r="F189" i="7"/>
  <c r="C189" i="7"/>
  <c r="I188" i="7"/>
  <c r="F188" i="7"/>
  <c r="C188" i="7"/>
  <c r="I187" i="7"/>
  <c r="F187" i="7"/>
  <c r="C187" i="7"/>
  <c r="I186" i="7"/>
  <c r="F186" i="7"/>
  <c r="C186" i="7"/>
  <c r="I185" i="7"/>
  <c r="F185" i="7"/>
  <c r="C185" i="7"/>
  <c r="I184" i="7"/>
  <c r="F184" i="7"/>
  <c r="C184" i="7"/>
  <c r="I183" i="7"/>
  <c r="F183" i="7"/>
  <c r="C183" i="7"/>
  <c r="I182" i="7"/>
  <c r="F182" i="7"/>
  <c r="C182" i="7"/>
  <c r="I181" i="7"/>
  <c r="F181" i="7"/>
  <c r="C181" i="7"/>
  <c r="I180" i="7"/>
  <c r="F180" i="7"/>
  <c r="C180" i="7"/>
  <c r="I179" i="7"/>
  <c r="F179" i="7"/>
  <c r="C179" i="7"/>
  <c r="I178" i="7"/>
  <c r="F178" i="7"/>
  <c r="C178" i="7"/>
  <c r="I177" i="7"/>
  <c r="F177" i="7"/>
  <c r="C177" i="7"/>
  <c r="I176" i="7"/>
  <c r="F176" i="7"/>
  <c r="C176" i="7"/>
  <c r="I175" i="7"/>
  <c r="F175" i="7"/>
  <c r="C175" i="7"/>
  <c r="I174" i="7"/>
  <c r="F174" i="7"/>
  <c r="C174" i="7"/>
  <c r="I173" i="7"/>
  <c r="F173" i="7"/>
  <c r="C173" i="7"/>
  <c r="I172" i="7"/>
  <c r="F172" i="7"/>
  <c r="C172" i="7"/>
  <c r="I171" i="7"/>
  <c r="F171" i="7"/>
  <c r="C171" i="7"/>
  <c r="I170" i="7"/>
  <c r="F170" i="7"/>
  <c r="C170" i="7"/>
  <c r="I169" i="7"/>
  <c r="F169" i="7"/>
  <c r="C169" i="7"/>
  <c r="I168" i="7"/>
  <c r="F168" i="7"/>
  <c r="C168" i="7"/>
  <c r="I167" i="7"/>
  <c r="F167" i="7"/>
  <c r="C167" i="7"/>
  <c r="I166" i="7"/>
  <c r="F166" i="7"/>
  <c r="C166" i="7"/>
  <c r="I165" i="7"/>
  <c r="F165" i="7"/>
  <c r="C165" i="7"/>
  <c r="I164" i="7"/>
  <c r="F164" i="7"/>
  <c r="C164" i="7"/>
  <c r="I163" i="7"/>
  <c r="F163" i="7"/>
  <c r="C163" i="7"/>
  <c r="I162" i="7"/>
  <c r="F162" i="7"/>
  <c r="C162" i="7"/>
  <c r="I161" i="7"/>
  <c r="F161" i="7"/>
  <c r="C161" i="7"/>
  <c r="I160" i="7"/>
  <c r="F160" i="7"/>
  <c r="C160" i="7"/>
  <c r="I159" i="7"/>
  <c r="F159" i="7"/>
  <c r="C159" i="7"/>
  <c r="I158" i="7"/>
  <c r="F158" i="7"/>
  <c r="C158" i="7"/>
  <c r="I157" i="7"/>
  <c r="F157" i="7"/>
  <c r="C157" i="7"/>
  <c r="I156" i="7"/>
  <c r="F156" i="7"/>
  <c r="C156" i="7"/>
  <c r="I155" i="7"/>
  <c r="F155" i="7"/>
  <c r="C155" i="7"/>
  <c r="I154" i="7"/>
  <c r="F154" i="7"/>
  <c r="C154" i="7"/>
  <c r="I153" i="7"/>
  <c r="F153" i="7"/>
  <c r="C153" i="7"/>
  <c r="I152" i="7"/>
  <c r="F152" i="7"/>
  <c r="C152" i="7"/>
  <c r="I151" i="7"/>
  <c r="F151" i="7"/>
  <c r="C151" i="7"/>
  <c r="I150" i="7"/>
  <c r="F150" i="7"/>
  <c r="C150" i="7"/>
  <c r="I149" i="7"/>
  <c r="F149" i="7"/>
  <c r="C149" i="7"/>
  <c r="I148" i="7"/>
  <c r="F148" i="7"/>
  <c r="C148" i="7"/>
  <c r="I147" i="7"/>
  <c r="F147" i="7"/>
  <c r="C147" i="7"/>
  <c r="I146" i="7"/>
  <c r="F146" i="7"/>
  <c r="C146" i="7"/>
  <c r="I145" i="7"/>
  <c r="F145" i="7"/>
  <c r="C145" i="7"/>
  <c r="I144" i="7"/>
  <c r="F144" i="7"/>
  <c r="C144" i="7"/>
  <c r="I143" i="7"/>
  <c r="F143" i="7"/>
  <c r="C143" i="7"/>
  <c r="I142" i="7"/>
  <c r="F142" i="7"/>
  <c r="C142" i="7"/>
  <c r="I141" i="7"/>
  <c r="F141" i="7"/>
  <c r="C141" i="7"/>
  <c r="I140" i="7"/>
  <c r="F140" i="7"/>
  <c r="C140" i="7"/>
  <c r="I139" i="7"/>
  <c r="F139" i="7"/>
  <c r="C139" i="7"/>
  <c r="I138" i="7"/>
  <c r="F138" i="7"/>
  <c r="C138" i="7"/>
  <c r="I137" i="7"/>
  <c r="F137" i="7"/>
  <c r="C137" i="7"/>
  <c r="I136" i="7"/>
  <c r="F136" i="7"/>
  <c r="C136" i="7"/>
  <c r="I135" i="7"/>
  <c r="F135" i="7"/>
  <c r="C135" i="7"/>
  <c r="I134" i="7"/>
  <c r="F134" i="7"/>
  <c r="C134" i="7"/>
  <c r="I133" i="7"/>
  <c r="F133" i="7"/>
  <c r="C133" i="7"/>
  <c r="I132" i="7"/>
  <c r="F132" i="7"/>
  <c r="C132" i="7"/>
  <c r="I131" i="7"/>
  <c r="F131" i="7"/>
  <c r="C131" i="7"/>
  <c r="I130" i="7"/>
  <c r="F130" i="7"/>
  <c r="C130" i="7"/>
  <c r="I129" i="7"/>
  <c r="F129" i="7"/>
  <c r="C129" i="7"/>
  <c r="I128" i="7"/>
  <c r="F128" i="7"/>
  <c r="C128" i="7"/>
  <c r="I127" i="7"/>
  <c r="F127" i="7"/>
  <c r="C127" i="7"/>
  <c r="I126" i="7"/>
  <c r="F126" i="7"/>
  <c r="C126" i="7"/>
  <c r="I125" i="7"/>
  <c r="F125" i="7"/>
  <c r="C125" i="7"/>
  <c r="I124" i="7"/>
  <c r="F124" i="7"/>
  <c r="C124" i="7"/>
  <c r="I123" i="7"/>
  <c r="F123" i="7"/>
  <c r="C123" i="7"/>
  <c r="I122" i="7"/>
  <c r="F122" i="7"/>
  <c r="C122" i="7"/>
  <c r="I121" i="7"/>
  <c r="F121" i="7"/>
  <c r="C121" i="7"/>
  <c r="I120" i="7"/>
  <c r="F120" i="7"/>
  <c r="C120" i="7"/>
  <c r="I119" i="7"/>
  <c r="F119" i="7"/>
  <c r="C119" i="7"/>
  <c r="I118" i="7"/>
  <c r="F118" i="7"/>
  <c r="C118" i="7"/>
  <c r="I117" i="7"/>
  <c r="F117" i="7"/>
  <c r="C117" i="7"/>
  <c r="I116" i="7"/>
  <c r="F116" i="7"/>
  <c r="C116" i="7"/>
  <c r="I115" i="7"/>
  <c r="F115" i="7"/>
  <c r="C115" i="7"/>
  <c r="I114" i="7"/>
  <c r="F114" i="7"/>
  <c r="C114" i="7"/>
  <c r="I113" i="7"/>
  <c r="F113" i="7"/>
  <c r="C113" i="7"/>
  <c r="I112" i="7"/>
  <c r="F112" i="7"/>
  <c r="C112" i="7"/>
  <c r="I111" i="7"/>
  <c r="F111" i="7"/>
  <c r="C111" i="7"/>
  <c r="I110" i="7"/>
  <c r="F110" i="7"/>
  <c r="C110" i="7"/>
  <c r="I109" i="7"/>
  <c r="F109" i="7"/>
  <c r="C109" i="7"/>
  <c r="I108" i="7"/>
  <c r="F108" i="7"/>
  <c r="C108" i="7"/>
  <c r="I107" i="7"/>
  <c r="F107" i="7"/>
  <c r="C107" i="7"/>
  <c r="I106" i="7"/>
  <c r="F106" i="7"/>
  <c r="C106" i="7"/>
  <c r="I105" i="7"/>
  <c r="F105" i="7"/>
  <c r="C105" i="7"/>
  <c r="I104" i="7"/>
  <c r="F104" i="7"/>
  <c r="C104" i="7"/>
  <c r="I103" i="7"/>
  <c r="F103" i="7"/>
  <c r="C103" i="7"/>
  <c r="I102" i="7"/>
  <c r="F102" i="7"/>
  <c r="C102" i="7"/>
  <c r="I101" i="7"/>
  <c r="F101" i="7"/>
  <c r="C101" i="7"/>
  <c r="I100" i="7"/>
  <c r="F100" i="7"/>
  <c r="C100" i="7"/>
  <c r="I99" i="7"/>
  <c r="F99" i="7"/>
  <c r="C99" i="7"/>
  <c r="I98" i="7"/>
  <c r="F98" i="7"/>
  <c r="C98" i="7"/>
  <c r="I97" i="7"/>
  <c r="F97" i="7"/>
  <c r="C97" i="7"/>
  <c r="I96" i="7"/>
  <c r="F96" i="7"/>
  <c r="C96" i="7"/>
  <c r="I95" i="7"/>
  <c r="F95" i="7"/>
  <c r="C95" i="7"/>
  <c r="I94" i="7"/>
  <c r="F94" i="7"/>
  <c r="C94" i="7"/>
  <c r="I93" i="7"/>
  <c r="F93" i="7"/>
  <c r="C93" i="7"/>
  <c r="I92" i="7"/>
  <c r="F92" i="7"/>
  <c r="C92" i="7"/>
  <c r="I91" i="7"/>
  <c r="F91" i="7"/>
  <c r="C91" i="7"/>
  <c r="I90" i="7"/>
  <c r="F90" i="7"/>
  <c r="C90" i="7"/>
  <c r="I89" i="7"/>
  <c r="F89" i="7"/>
  <c r="C89" i="7"/>
  <c r="I88" i="7"/>
  <c r="F88" i="7"/>
  <c r="C88" i="7"/>
  <c r="I87" i="7"/>
  <c r="F87" i="7"/>
  <c r="C87" i="7"/>
  <c r="I86" i="7"/>
  <c r="F86" i="7"/>
  <c r="C86" i="7"/>
  <c r="I85" i="7"/>
  <c r="F85" i="7"/>
  <c r="C85" i="7"/>
  <c r="I84" i="7"/>
  <c r="F84" i="7"/>
  <c r="C84" i="7"/>
  <c r="I83" i="7"/>
  <c r="F83" i="7"/>
  <c r="C83" i="7"/>
  <c r="I82" i="7"/>
  <c r="F82" i="7"/>
  <c r="C82" i="7"/>
  <c r="I81" i="7"/>
  <c r="F81" i="7"/>
  <c r="C81" i="7"/>
  <c r="I80" i="7"/>
  <c r="F80" i="7"/>
  <c r="C80" i="7"/>
  <c r="I79" i="7"/>
  <c r="F79" i="7"/>
  <c r="C79" i="7"/>
  <c r="I78" i="7"/>
  <c r="F78" i="7"/>
  <c r="C78" i="7"/>
  <c r="I77" i="7"/>
  <c r="F77" i="7"/>
  <c r="C77" i="7"/>
  <c r="I76" i="7"/>
  <c r="F76" i="7"/>
  <c r="C76" i="7"/>
  <c r="I75" i="7"/>
  <c r="F75" i="7"/>
  <c r="C75" i="7"/>
  <c r="I74" i="7"/>
  <c r="F74" i="7"/>
  <c r="C74" i="7"/>
  <c r="I73" i="7"/>
  <c r="F73" i="7"/>
  <c r="C73" i="7"/>
  <c r="I72" i="7"/>
  <c r="F72" i="7"/>
  <c r="C72" i="7"/>
  <c r="I71" i="7"/>
  <c r="F71" i="7"/>
  <c r="C71" i="7"/>
  <c r="I70" i="7"/>
  <c r="F70" i="7"/>
  <c r="C70" i="7"/>
  <c r="I69" i="7"/>
  <c r="F69" i="7"/>
  <c r="C69" i="7"/>
  <c r="I68" i="7"/>
  <c r="F68" i="7"/>
  <c r="C68" i="7"/>
  <c r="I67" i="7"/>
  <c r="F67" i="7"/>
  <c r="C67" i="7"/>
  <c r="I66" i="7"/>
  <c r="F66" i="7"/>
  <c r="C66" i="7"/>
  <c r="I65" i="7"/>
  <c r="F65" i="7"/>
  <c r="C65" i="7"/>
  <c r="I64" i="7"/>
  <c r="F64" i="7"/>
  <c r="C64" i="7"/>
  <c r="I63" i="7"/>
  <c r="F63" i="7"/>
  <c r="C63" i="7"/>
  <c r="I62" i="7"/>
  <c r="F62" i="7"/>
  <c r="C62" i="7"/>
  <c r="I61" i="7"/>
  <c r="F61" i="7"/>
  <c r="C61" i="7"/>
  <c r="I60" i="7"/>
  <c r="F60" i="7"/>
  <c r="C60" i="7"/>
  <c r="I59" i="7"/>
  <c r="F59" i="7"/>
  <c r="C59" i="7"/>
  <c r="I58" i="7"/>
  <c r="F58" i="7"/>
  <c r="C58" i="7"/>
  <c r="I57" i="7"/>
  <c r="F57" i="7"/>
  <c r="C57" i="7"/>
  <c r="I56" i="7"/>
  <c r="F56" i="7"/>
  <c r="C56" i="7"/>
  <c r="I55" i="7"/>
  <c r="F55" i="7"/>
  <c r="C55" i="7"/>
  <c r="I54" i="7"/>
  <c r="F54" i="7"/>
  <c r="C54" i="7"/>
  <c r="I53" i="7"/>
  <c r="F53" i="7"/>
  <c r="C53" i="7"/>
  <c r="I52" i="7"/>
  <c r="F52" i="7"/>
  <c r="C52" i="7"/>
  <c r="I51" i="7"/>
  <c r="F51" i="7"/>
  <c r="C51" i="7"/>
  <c r="I50" i="7"/>
  <c r="F50" i="7"/>
  <c r="C50" i="7"/>
  <c r="I49" i="7"/>
  <c r="F49" i="7"/>
  <c r="C49" i="7"/>
  <c r="I48" i="7"/>
  <c r="F48" i="7"/>
  <c r="C48" i="7"/>
  <c r="I47" i="7"/>
  <c r="F47" i="7"/>
  <c r="C47" i="7"/>
  <c r="I46" i="7"/>
  <c r="F46" i="7"/>
  <c r="C46" i="7"/>
  <c r="I45" i="7"/>
  <c r="F45" i="7"/>
  <c r="C45" i="7"/>
  <c r="I44" i="7"/>
  <c r="F44" i="7"/>
  <c r="C44" i="7"/>
  <c r="I43" i="7"/>
  <c r="F43" i="7"/>
  <c r="C43" i="7"/>
  <c r="I42" i="7"/>
  <c r="F42" i="7"/>
  <c r="C42" i="7"/>
  <c r="I41" i="7"/>
  <c r="F41" i="7"/>
  <c r="C41" i="7"/>
  <c r="I40" i="7"/>
  <c r="F40" i="7"/>
  <c r="C40" i="7"/>
  <c r="I39" i="7"/>
  <c r="F39" i="7"/>
  <c r="C39" i="7"/>
  <c r="I38" i="7"/>
  <c r="F38" i="7"/>
  <c r="C38" i="7"/>
  <c r="I37" i="7"/>
  <c r="F37" i="7"/>
  <c r="C37" i="7"/>
  <c r="I36" i="7"/>
  <c r="F36" i="7"/>
  <c r="C36" i="7"/>
  <c r="I35" i="7"/>
  <c r="F35" i="7"/>
  <c r="C35" i="7"/>
  <c r="I34" i="7"/>
  <c r="F34" i="7"/>
  <c r="C34" i="7"/>
  <c r="I33" i="7"/>
  <c r="F33" i="7"/>
  <c r="C33" i="7"/>
  <c r="I32" i="7"/>
  <c r="F32" i="7"/>
  <c r="C32" i="7"/>
  <c r="I31" i="7"/>
  <c r="F31" i="7"/>
  <c r="C31" i="7"/>
  <c r="I30" i="7"/>
  <c r="F30" i="7"/>
  <c r="C30" i="7"/>
  <c r="I29" i="7"/>
  <c r="F29" i="7"/>
  <c r="C29" i="7"/>
  <c r="I28" i="7"/>
  <c r="F28" i="7"/>
  <c r="C28" i="7"/>
  <c r="I27" i="7"/>
  <c r="F27" i="7"/>
  <c r="C27" i="7"/>
  <c r="I26" i="7"/>
  <c r="F26" i="7"/>
  <c r="C26" i="7"/>
  <c r="I25" i="7"/>
  <c r="F25" i="7"/>
  <c r="C25" i="7"/>
  <c r="I24" i="7"/>
  <c r="F24" i="7"/>
  <c r="C24" i="7"/>
  <c r="I23" i="7"/>
  <c r="F23" i="7"/>
  <c r="C23" i="7"/>
  <c r="I22" i="7"/>
  <c r="F22" i="7"/>
  <c r="C22" i="7"/>
  <c r="I21" i="7"/>
  <c r="F21" i="7"/>
  <c r="C21" i="7"/>
  <c r="I20" i="7"/>
  <c r="F20" i="7"/>
  <c r="C20" i="7"/>
  <c r="I19" i="7"/>
  <c r="F19" i="7"/>
  <c r="C19" i="7"/>
  <c r="I18" i="7"/>
  <c r="F18" i="7"/>
  <c r="C18" i="7"/>
  <c r="I17" i="7"/>
  <c r="F17" i="7"/>
  <c r="C17" i="7"/>
  <c r="I16" i="7"/>
  <c r="F16" i="7"/>
  <c r="C16" i="7"/>
  <c r="I15" i="7"/>
  <c r="F15" i="7"/>
  <c r="C15" i="7"/>
  <c r="I14" i="7"/>
  <c r="F14" i="7"/>
  <c r="C14" i="7"/>
  <c r="I13" i="7"/>
  <c r="F13" i="7"/>
  <c r="C13" i="7"/>
  <c r="I12" i="7"/>
  <c r="F12" i="7"/>
  <c r="C12" i="7"/>
  <c r="I11" i="7"/>
  <c r="F11" i="7"/>
  <c r="C11" i="7"/>
  <c r="I10" i="7"/>
  <c r="F10" i="7"/>
  <c r="C10" i="7"/>
  <c r="I9" i="7"/>
  <c r="F9" i="7"/>
  <c r="C9" i="7"/>
  <c r="I8" i="7"/>
  <c r="F8" i="7"/>
  <c r="C8" i="7"/>
  <c r="I7" i="7"/>
  <c r="F7" i="7"/>
  <c r="C7" i="7"/>
  <c r="I6" i="7"/>
  <c r="F6" i="7"/>
  <c r="C6" i="7"/>
  <c r="I5" i="7"/>
  <c r="F5" i="7"/>
  <c r="C5" i="7"/>
  <c r="D29" i="6"/>
  <c r="F7" i="6"/>
  <c r="E7" i="6"/>
  <c r="E8" i="6" s="1"/>
  <c r="B24" i="5"/>
  <c r="H121" i="3"/>
  <c r="AB2" i="4"/>
  <c r="AB1" i="4"/>
  <c r="D1" i="4"/>
  <c r="E9" i="6" l="1"/>
  <c r="F8" i="6"/>
  <c r="E10" i="6" l="1"/>
  <c r="F9" i="6"/>
  <c r="E11" i="6" l="1"/>
  <c r="F10" i="6"/>
  <c r="F11" i="6" l="1"/>
  <c r="E12" i="6"/>
  <c r="F12" i="6" l="1"/>
  <c r="E13" i="6"/>
  <c r="E14" i="6" l="1"/>
  <c r="F13" i="6"/>
  <c r="E15" i="6" l="1"/>
  <c r="F14" i="6"/>
  <c r="E16" i="6" l="1"/>
  <c r="F15" i="6"/>
  <c r="E17" i="6" l="1"/>
  <c r="F16" i="6"/>
  <c r="E18" i="6" l="1"/>
  <c r="F17" i="6"/>
  <c r="E19" i="6" l="1"/>
  <c r="F18" i="6"/>
  <c r="E20" i="6" l="1"/>
  <c r="F19" i="6"/>
  <c r="F20" i="6" l="1"/>
  <c r="E21" i="6"/>
  <c r="E22" i="6" l="1"/>
  <c r="F21" i="6"/>
  <c r="E23" i="6" l="1"/>
  <c r="F22" i="6"/>
  <c r="E24" i="6" l="1"/>
  <c r="F23" i="6"/>
  <c r="F24" i="6" l="1"/>
  <c r="E25" i="6"/>
  <c r="E26" i="6" l="1"/>
  <c r="F25" i="6"/>
  <c r="E27" i="6" l="1"/>
  <c r="F26" i="6"/>
  <c r="F27" i="6" l="1"/>
  <c r="E28" i="6"/>
  <c r="F28" i="6" s="1"/>
</calcChain>
</file>

<file path=xl/sharedStrings.xml><?xml version="1.0" encoding="utf-8"?>
<sst xmlns="http://schemas.openxmlformats.org/spreadsheetml/2006/main" count="1679" uniqueCount="1262">
  <si>
    <t xml:space="preserve">You can use start and finish dates, actual start and finish dates. You can identify the schedule is delayed or aheaded by entering actual start and finish dates. </t>
  </si>
  <si>
    <t>To import files from source to the target file, map the respective fields.\nSelect a field in source file first and then find a corresponding field in the target file.</t>
  </si>
  <si>
    <t>There was an error in "Progress Line" drawing. This can happen if the actual start date or actual finish date is beyond the project period. Check the message below.</t>
  </si>
  <si>
    <t>* Common Excel file, Not XLGantt file\n   (First row is title,from second rows are contents)\n* You can import only one file at once.</t>
  </si>
  <si>
    <r>
      <rPr>
        <sz val="9"/>
        <color rgb="FF000000"/>
        <rFont val="맑은 고딕"/>
        <family val="3"/>
        <charset val="129"/>
      </rPr>
      <t>계획기간</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</si>
  <si>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Planned Project Progresses by Weeks</t>
  </si>
  <si>
    <r>
      <rPr>
        <sz val="9"/>
        <color rgb="FF000000"/>
        <rFont val="맑은 고딕"/>
        <family val="3"/>
        <charset val="129"/>
      </rPr>
      <t>비고</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</si>
  <si>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rPr>
        <sz val="9"/>
        <color rgb="FF000000"/>
        <rFont val="맑은 고딕"/>
        <family val="3"/>
        <charset val="129"/>
      </rPr>
      <t>가중치</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</si>
  <si>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rPr>
        <sz val="9"/>
        <color rgb="FF000000"/>
        <rFont val="맑은 고딕"/>
        <family val="3"/>
        <charset val="129"/>
      </rPr>
      <t>계획작업량</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</si>
  <si>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Schedule update has been completed.</t>
  </si>
  <si>
    <t>일정변경 관리할 때 현재까지 실제로 투입된 작업기간을 표시함</t>
  </si>
  <si>
    <r>
      <rPr>
        <sz val="9"/>
        <color rgb="FF000000"/>
        <rFont val="맑은 고딕"/>
        <family val="3"/>
        <charset val="129"/>
      </rPr>
      <t>총작업량</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</si>
  <si>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Choose a language used in XLGantt.</t>
  </si>
  <si>
    <t>Select source files(Muliple Select)</t>
  </si>
  <si>
    <t>Weight must be greater than zero.</t>
  </si>
  <si>
    <t>Task(Task name or Name) is missing.</t>
  </si>
  <si>
    <r>
      <rPr>
        <sz val="9"/>
        <color rgb="FF000000"/>
        <rFont val="맑은 고딕"/>
        <family val="3"/>
        <charset val="129"/>
      </rPr>
      <t>선택할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없는</t>
    </r>
    <r>
      <rPr>
        <sz val="9"/>
        <color rgb="FF000000"/>
        <rFont val="Calibri"/>
        <family val="2"/>
      </rPr>
      <t xml:space="preserve"> </t>
    </r>
    <r>
      <rPr>
        <sz val="9"/>
        <color rgb="FF000000"/>
        <rFont val="맑은 고딕"/>
        <family val="3"/>
        <charset val="129"/>
      </rPr>
      <t>영역입니다</t>
    </r>
    <r>
      <rPr>
        <sz val="9"/>
        <color rgb="FF000000"/>
        <rFont val="Calibri"/>
        <family val="2"/>
      </rPr>
      <t xml:space="preserve">. </t>
    </r>
    <r>
      <rPr>
        <sz val="9"/>
        <color rgb="FF000000"/>
        <rFont val="맑은 고딕"/>
        <family val="3"/>
        <charset val="129"/>
      </rPr>
      <t>작업명이</t>
    </r>
    <r>
      <rPr>
        <sz val="9"/>
        <color rgb="FF000000"/>
        <rFont val="Calibri"/>
        <family val="2"/>
      </rPr>
      <t xml:space="preserve"> </t>
    </r>
    <r>
      <rPr>
        <sz val="9"/>
        <color rgb="FF000000"/>
        <rFont val="맑은 고딕"/>
        <family val="3"/>
        <charset val="129"/>
      </rPr>
      <t>입력된</t>
    </r>
    <r>
      <rPr>
        <sz val="9"/>
        <color rgb="FF000000"/>
        <rFont val="Calibri"/>
        <family val="2"/>
      </rPr>
      <t xml:space="preserve"> </t>
    </r>
    <r>
      <rPr>
        <sz val="9"/>
        <color rgb="FF000000"/>
        <rFont val="맑은 고딕"/>
        <family val="3"/>
        <charset val="129"/>
      </rPr>
      <t>행을</t>
    </r>
    <r>
      <rPr>
        <sz val="9"/>
        <color rgb="FF000000"/>
        <rFont val="Calibri"/>
        <family val="2"/>
      </rPr>
      <t xml:space="preserve"> </t>
    </r>
    <r>
      <rPr>
        <sz val="9"/>
        <color rgb="FF000000"/>
        <rFont val="맑은 고딕"/>
        <family val="3"/>
        <charset val="129"/>
      </rPr>
      <t>선택하세요</t>
    </r>
    <r>
      <rPr>
        <sz val="9"/>
        <color rgb="FF000000"/>
        <rFont val="Calibri"/>
        <family val="2"/>
      </rPr>
      <t>.</t>
    </r>
  </si>
  <si>
    <r>
      <rPr>
        <sz val="9"/>
        <color rgb="FF000000"/>
        <rFont val="맑은 고딕"/>
        <family val="3"/>
        <charset val="129"/>
      </rPr>
      <t>처리</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에러가</t>
    </r>
    <r>
      <rPr>
        <sz val="9"/>
        <color rgb="FF000000"/>
        <rFont val="Calibri"/>
        <family val="2"/>
      </rPr>
      <t xml:space="preserve"> </t>
    </r>
    <r>
      <rPr>
        <sz val="9"/>
        <color rgb="FF000000"/>
        <rFont val="맑은 고딕"/>
        <family val="3"/>
        <charset val="129"/>
      </rPr>
      <t>발생했습니다</t>
    </r>
    <r>
      <rPr>
        <sz val="9"/>
        <color rgb="FF000000"/>
        <rFont val="Calibri"/>
        <family val="2"/>
      </rPr>
      <t xml:space="preserve">. </t>
    </r>
    <r>
      <rPr>
        <sz val="9"/>
        <color rgb="FF000000"/>
        <rFont val="맑은 고딕"/>
        <family val="3"/>
        <charset val="129"/>
      </rPr>
      <t>아래의</t>
    </r>
    <r>
      <rPr>
        <sz val="9"/>
        <color rgb="FF000000"/>
        <rFont val="Calibri"/>
        <family val="2"/>
      </rPr>
      <t xml:space="preserve"> </t>
    </r>
    <r>
      <rPr>
        <sz val="9"/>
        <color rgb="FF000000"/>
        <rFont val="맑은 고딕"/>
        <family val="3"/>
        <charset val="129"/>
      </rPr>
      <t>메시지를</t>
    </r>
    <r>
      <rPr>
        <sz val="9"/>
        <color rgb="FF000000"/>
        <rFont val="Calibri"/>
        <family val="2"/>
      </rPr>
      <t xml:space="preserve"> </t>
    </r>
    <r>
      <rPr>
        <sz val="9"/>
        <color rgb="FF000000"/>
        <rFont val="맑은 고딕"/>
        <family val="3"/>
        <charset val="129"/>
      </rPr>
      <t>확인하십시오</t>
    </r>
    <r>
      <rPr>
        <sz val="9"/>
        <color rgb="FF000000"/>
        <rFont val="Calibri"/>
        <family val="2"/>
      </rPr>
      <t>.</t>
    </r>
  </si>
  <si>
    <r>
      <rPr>
        <sz val="9"/>
        <color rgb="FF000000"/>
        <rFont val="맑은 고딕"/>
        <family val="3"/>
        <charset val="129"/>
      </rPr>
      <t>총기간</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</si>
  <si>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Not Specified(Standard Calendar)</t>
  </si>
  <si>
    <r>
      <rPr>
        <sz val="9"/>
        <color rgb="FF000000"/>
        <rFont val="맑은 고딕"/>
        <family val="3"/>
        <charset val="129"/>
      </rPr>
      <t>토요일</t>
    </r>
    <r>
      <rPr>
        <sz val="9"/>
        <color rgb="FF000000"/>
        <rFont val="Calibri"/>
        <family val="2"/>
      </rPr>
      <t>,</t>
    </r>
    <r>
      <rPr>
        <sz val="9"/>
        <color rgb="FF000000"/>
        <rFont val="맑은 고딕"/>
        <family val="3"/>
        <charset val="129"/>
      </rPr>
      <t>일요일은</t>
    </r>
    <r>
      <rPr>
        <sz val="9"/>
        <color rgb="FF000000"/>
        <rFont val="Calibri"/>
        <family val="2"/>
      </rPr>
      <t xml:space="preserve"> Calendar sheet</t>
    </r>
    <r>
      <rPr>
        <sz val="9"/>
        <color rgb="FF000000"/>
        <rFont val="맑은 고딕"/>
        <family val="3"/>
        <charset val="129"/>
      </rPr>
      <t>에</t>
    </r>
    <r>
      <rPr>
        <sz val="9"/>
        <color rgb="FF000000"/>
        <rFont val="Calibri"/>
        <family val="2"/>
      </rPr>
      <t xml:space="preserve"> </t>
    </r>
    <r>
      <rPr>
        <sz val="9"/>
        <color rgb="FF000000"/>
        <rFont val="맑은 고딕"/>
        <family val="3"/>
        <charset val="129"/>
      </rPr>
      <t>입력할</t>
    </r>
    <r>
      <rPr>
        <sz val="9"/>
        <color rgb="FF000000"/>
        <rFont val="Calibri"/>
        <family val="2"/>
      </rPr>
      <t xml:space="preserve"> </t>
    </r>
    <r>
      <rPr>
        <sz val="9"/>
        <color rgb="FF000000"/>
        <rFont val="맑은 고딕"/>
        <family val="3"/>
        <charset val="129"/>
      </rPr>
      <t>필요</t>
    </r>
    <r>
      <rPr>
        <sz val="9"/>
        <color rgb="FF000000"/>
        <rFont val="Calibri"/>
        <family val="2"/>
      </rPr>
      <t xml:space="preserve"> </t>
    </r>
    <r>
      <rPr>
        <sz val="9"/>
        <color rgb="FF000000"/>
        <rFont val="맑은 고딕"/>
        <family val="3"/>
        <charset val="129"/>
      </rPr>
      <t>없음</t>
    </r>
  </si>
  <si>
    <t>Choose a language used in XLGantt</t>
  </si>
  <si>
    <r>
      <rPr>
        <sz val="9"/>
        <color rgb="FF000000"/>
        <rFont val="맑은 고딕"/>
        <family val="3"/>
        <charset val="129"/>
      </rPr>
      <t>담당</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</si>
  <si>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Actual Total\nWork(Total\nManDay)</t>
  </si>
  <si>
    <r>
      <rPr>
        <sz val="9"/>
        <color rgb="FF000000"/>
        <rFont val="맑은 고딕"/>
        <family val="3"/>
        <charset val="129"/>
      </rPr>
      <t>실적진척율</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</si>
  <si>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rPr>
        <sz val="9"/>
        <color rgb="FF000000"/>
        <rFont val="맑은 고딕"/>
        <family val="3"/>
        <charset val="129"/>
      </rPr>
      <t>입력한</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기간의</t>
    </r>
    <r>
      <rPr>
        <sz val="9"/>
        <color rgb="FF000000"/>
        <rFont val="Calibri"/>
        <family val="2"/>
      </rPr>
      <t xml:space="preserve"> </t>
    </r>
    <r>
      <rPr>
        <sz val="9"/>
        <color rgb="FF000000"/>
        <rFont val="맑은 고딕"/>
        <family val="3"/>
        <charset val="129"/>
      </rPr>
      <t>시작일</t>
    </r>
    <r>
      <rPr>
        <sz val="9"/>
        <color rgb="FF000000"/>
        <rFont val="Calibri"/>
        <family val="2"/>
      </rPr>
      <t>({})</t>
    </r>
    <r>
      <rPr>
        <sz val="9"/>
        <color rgb="FF000000"/>
        <rFont val="맑은 고딕"/>
        <family val="3"/>
        <charset val="129"/>
      </rPr>
      <t>이</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아닙니다</t>
    </r>
  </si>
  <si>
    <t>Name:isConfirmedProjectBasicInfo</t>
  </si>
  <si>
    <r>
      <rPr>
        <sz val="9"/>
        <color rgb="FF000000"/>
        <rFont val="맑은 고딕"/>
        <family val="3"/>
        <charset val="129"/>
      </rPr>
      <t>실제시작일</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</si>
  <si>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You didn't choose a target field.</t>
  </si>
  <si>
    <t>You didn't choose an unmap item.</t>
  </si>
  <si>
    <r>
      <rPr>
        <sz val="9"/>
        <color rgb="FF000000"/>
        <rFont val="맑은 고딕"/>
        <family val="3"/>
        <charset val="129"/>
      </rPr>
      <t>일정변경</t>
    </r>
    <r>
      <rPr>
        <sz val="9"/>
        <color rgb="FF000000"/>
        <rFont val="Calibri"/>
        <family val="2"/>
      </rPr>
      <t xml:space="preserve"> </t>
    </r>
    <r>
      <rPr>
        <sz val="9"/>
        <color rgb="FF000000"/>
        <rFont val="맑은 고딕"/>
        <family val="3"/>
        <charset val="129"/>
      </rPr>
      <t>관리할</t>
    </r>
    <r>
      <rPr>
        <sz val="9"/>
        <color rgb="FF000000"/>
        <rFont val="Calibri"/>
        <family val="2"/>
      </rPr>
      <t xml:space="preserve"> </t>
    </r>
    <r>
      <rPr>
        <sz val="9"/>
        <color rgb="FF000000"/>
        <rFont val="맑은 고딕"/>
        <family val="3"/>
        <charset val="129"/>
      </rPr>
      <t>때</t>
    </r>
    <r>
      <rPr>
        <sz val="9"/>
        <color rgb="FF000000"/>
        <rFont val="Calibri"/>
        <family val="2"/>
      </rPr>
      <t xml:space="preserve"> </t>
    </r>
    <r>
      <rPr>
        <sz val="9"/>
        <color rgb="FF000000"/>
        <rFont val="맑은 고딕"/>
        <family val="3"/>
        <charset val="129"/>
      </rPr>
      <t>현재까지</t>
    </r>
    <r>
      <rPr>
        <sz val="9"/>
        <color rgb="FF000000"/>
        <rFont val="Calibri"/>
        <family val="2"/>
      </rPr>
      <t xml:space="preserve"> </t>
    </r>
    <r>
      <rPr>
        <sz val="9"/>
        <color rgb="FF000000"/>
        <rFont val="맑은 고딕"/>
        <family val="3"/>
        <charset val="129"/>
      </rPr>
      <t>실제로</t>
    </r>
    <r>
      <rPr>
        <sz val="9"/>
        <color rgb="FF000000"/>
        <rFont val="Calibri"/>
        <family val="2"/>
      </rPr>
      <t xml:space="preserve"> </t>
    </r>
    <r>
      <rPr>
        <sz val="9"/>
        <color rgb="FF000000"/>
        <rFont val="맑은 고딕"/>
        <family val="3"/>
        <charset val="129"/>
      </rPr>
      <t>투입된</t>
    </r>
    <r>
      <rPr>
        <sz val="9"/>
        <color rgb="FF000000"/>
        <rFont val="Calibri"/>
        <family val="2"/>
      </rPr>
      <t xml:space="preserve"> </t>
    </r>
    <r>
      <rPr>
        <sz val="9"/>
        <color rgb="FF000000"/>
        <rFont val="맑은 고딕"/>
        <family val="3"/>
        <charset val="129"/>
      </rPr>
      <t>작업기간을</t>
    </r>
    <r>
      <rPr>
        <sz val="9"/>
        <color rgb="FF000000"/>
        <rFont val="Calibri"/>
        <family val="2"/>
      </rPr>
      <t xml:space="preserve"> </t>
    </r>
    <r>
      <rPr>
        <sz val="9"/>
        <color rgb="FF000000"/>
        <rFont val="맑은 고딕"/>
        <family val="3"/>
        <charset val="129"/>
      </rPr>
      <t>표시함</t>
    </r>
  </si>
  <si>
    <t>Name:chkCheckForUpdatesOnStartup</t>
  </si>
  <si>
    <r>
      <rPr>
        <sz val="9"/>
        <color rgb="FF000000"/>
        <rFont val="맑은 고딕"/>
        <family val="3"/>
        <charset val="129"/>
      </rPr>
      <t>기본언어인</t>
    </r>
    <r>
      <rPr>
        <sz val="9"/>
        <color rgb="FF000000"/>
        <rFont val="Calibri"/>
        <family val="2"/>
      </rPr>
      <t xml:space="preserve"> English</t>
    </r>
    <r>
      <rPr>
        <sz val="9"/>
        <color rgb="FF000000"/>
        <rFont val="맑은 고딕"/>
        <family val="3"/>
        <charset val="129"/>
      </rPr>
      <t>와</t>
    </r>
    <r>
      <rPr>
        <sz val="9"/>
        <color rgb="FF000000"/>
        <rFont val="Calibri"/>
        <family val="2"/>
      </rPr>
      <t xml:space="preserve"> Korean</t>
    </r>
    <r>
      <rPr>
        <sz val="9"/>
        <color rgb="FF000000"/>
        <rFont val="맑은 고딕"/>
        <family val="3"/>
        <charset val="129"/>
      </rPr>
      <t>은</t>
    </r>
    <r>
      <rPr>
        <sz val="9"/>
        <color rgb="FF000000"/>
        <rFont val="Calibri"/>
        <family val="2"/>
      </rPr>
      <t xml:space="preserve"> </t>
    </r>
    <r>
      <rPr>
        <sz val="9"/>
        <color rgb="FF000000"/>
        <rFont val="맑은 고딕"/>
        <family val="3"/>
        <charset val="129"/>
      </rPr>
      <t>삭제할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</si>
  <si>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작업</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</si>
  <si>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Name:groupTaskInteriorGrayDisplay</t>
  </si>
  <si>
    <r>
      <rPr>
        <sz val="9"/>
        <color rgb="FF000000"/>
        <rFont val="맑은 고딕"/>
        <family val="3"/>
        <charset val="129"/>
      </rPr>
      <t>선택한</t>
    </r>
    <r>
      <rPr>
        <sz val="9"/>
        <color rgb="FF000000"/>
        <rFont val="Calibri"/>
        <family val="2"/>
      </rPr>
      <t xml:space="preserve"> </t>
    </r>
    <r>
      <rPr>
        <sz val="9"/>
        <color rgb="FF000000"/>
        <rFont val="맑은 고딕"/>
        <family val="3"/>
        <charset val="129"/>
      </rPr>
      <t>위치에서는</t>
    </r>
    <r>
      <rPr>
        <sz val="9"/>
        <color rgb="FF000000"/>
        <rFont val="Calibri"/>
        <family val="2"/>
      </rPr>
      <t xml:space="preserve"> Outlook</t>
    </r>
    <r>
      <rPr>
        <sz val="9"/>
        <color rgb="FF000000"/>
        <rFont val="맑은 고딕"/>
        <family val="3"/>
        <charset val="129"/>
      </rPr>
      <t>작업을</t>
    </r>
    <r>
      <rPr>
        <sz val="9"/>
        <color rgb="FF000000"/>
        <rFont val="Calibri"/>
        <family val="2"/>
      </rPr>
      <t xml:space="preserve"> </t>
    </r>
    <r>
      <rPr>
        <sz val="9"/>
        <color rgb="FF000000"/>
        <rFont val="맑은 고딕"/>
        <family val="3"/>
        <charset val="129"/>
      </rPr>
      <t>등록할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</si>
  <si>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일정변경</t>
    </r>
    <r>
      <rPr>
        <sz val="9"/>
        <color rgb="FF000000"/>
        <rFont val="Calibri"/>
        <family val="2"/>
      </rPr>
      <t xml:space="preserve"> </t>
    </r>
    <r>
      <rPr>
        <sz val="9"/>
        <color rgb="FF000000"/>
        <rFont val="맑은 고딕"/>
        <family val="3"/>
        <charset val="129"/>
      </rPr>
      <t>관리함</t>
    </r>
    <r>
      <rPr>
        <sz val="9"/>
        <color rgb="FF000000"/>
        <rFont val="Calibri"/>
        <family val="2"/>
      </rPr>
      <t>(</t>
    </r>
    <r>
      <rPr>
        <sz val="9"/>
        <color rgb="FF000000"/>
        <rFont val="맑은 고딕"/>
        <family val="3"/>
        <charset val="129"/>
      </rPr>
      <t>시작일</t>
    </r>
    <r>
      <rPr>
        <sz val="9"/>
        <color rgb="FF000000"/>
        <rFont val="Calibri"/>
        <family val="2"/>
      </rPr>
      <t>/</t>
    </r>
    <r>
      <rPr>
        <sz val="9"/>
        <color rgb="FF000000"/>
        <rFont val="맑은 고딕"/>
        <family val="3"/>
        <charset val="129"/>
      </rPr>
      <t>완료일</t>
    </r>
    <r>
      <rPr>
        <sz val="9"/>
        <color rgb="FF000000"/>
        <rFont val="Calibri"/>
        <family val="2"/>
      </rPr>
      <t xml:space="preserve">, </t>
    </r>
    <r>
      <rPr>
        <sz val="9"/>
        <color rgb="FF000000"/>
        <rFont val="맑은 고딕"/>
        <family val="3"/>
        <charset val="129"/>
      </rPr>
      <t>실제시작일</t>
    </r>
    <r>
      <rPr>
        <sz val="9"/>
        <color rgb="FF000000"/>
        <rFont val="Calibri"/>
        <family val="2"/>
      </rPr>
      <t>/</t>
    </r>
    <r>
      <rPr>
        <sz val="9"/>
        <color rgb="FF000000"/>
        <rFont val="맑은 고딕"/>
        <family val="3"/>
        <charset val="129"/>
      </rPr>
      <t>실제완료일</t>
    </r>
    <r>
      <rPr>
        <sz val="9"/>
        <color rgb="FF000000"/>
        <rFont val="Calibri"/>
        <family val="2"/>
      </rPr>
      <t xml:space="preserve"> </t>
    </r>
    <r>
      <rPr>
        <sz val="9"/>
        <color rgb="FF000000"/>
        <rFont val="맑은 고딕"/>
        <family val="3"/>
        <charset val="129"/>
      </rPr>
      <t>사용</t>
    </r>
    <r>
      <rPr>
        <sz val="9"/>
        <color rgb="FF000000"/>
        <rFont val="Calibri"/>
        <family val="2"/>
      </rPr>
      <t>)</t>
    </r>
  </si>
  <si>
    <r>
      <rPr>
        <sz val="9"/>
        <color rgb="FF000000"/>
        <rFont val="맑은 고딕"/>
        <family val="3"/>
        <charset val="129"/>
      </rPr>
      <t>토요일</t>
    </r>
    <r>
      <rPr>
        <sz val="9"/>
        <color rgb="FF000000"/>
        <rFont val="Calibri"/>
        <family val="2"/>
      </rPr>
      <t>,</t>
    </r>
    <r>
      <rPr>
        <sz val="9"/>
        <color rgb="FF000000"/>
        <rFont val="맑은 고딕"/>
        <family val="3"/>
        <charset val="129"/>
      </rPr>
      <t>일요일</t>
    </r>
    <r>
      <rPr>
        <sz val="9"/>
        <color rgb="FF000000"/>
        <rFont val="Calibri"/>
        <family val="2"/>
      </rPr>
      <t xml:space="preserve"> </t>
    </r>
    <r>
      <rPr>
        <sz val="9"/>
        <color rgb="FF000000"/>
        <rFont val="맑은 고딕"/>
        <family val="3"/>
        <charset val="129"/>
      </rPr>
      <t>및</t>
    </r>
    <r>
      <rPr>
        <sz val="9"/>
        <color rgb="FF000000"/>
        <rFont val="Calibri"/>
        <family val="2"/>
      </rPr>
      <t xml:space="preserve"> Calendar sheet</t>
    </r>
    <r>
      <rPr>
        <sz val="9"/>
        <color rgb="FF000000"/>
        <rFont val="맑은 고딕"/>
        <family val="3"/>
        <charset val="129"/>
      </rPr>
      <t>에</t>
    </r>
    <r>
      <rPr>
        <sz val="9"/>
        <color rgb="FF000000"/>
        <rFont val="Calibri"/>
        <family val="2"/>
      </rPr>
      <t xml:space="preserve"> </t>
    </r>
    <r>
      <rPr>
        <sz val="9"/>
        <color rgb="FF000000"/>
        <rFont val="맑은 고딕"/>
        <family val="3"/>
        <charset val="129"/>
      </rPr>
      <t>입력된</t>
    </r>
    <r>
      <rPr>
        <sz val="9"/>
        <color rgb="FF000000"/>
        <rFont val="Calibri"/>
        <family val="2"/>
      </rPr>
      <t xml:space="preserve"> </t>
    </r>
    <r>
      <rPr>
        <sz val="9"/>
        <color rgb="FF000000"/>
        <rFont val="맑은 고딕"/>
        <family val="3"/>
        <charset val="129"/>
      </rPr>
      <t xml:space="preserve">날짜
</t>
    </r>
  </si>
  <si>
    <r>
      <rPr>
        <sz val="9"/>
        <color rgb="FF000000"/>
        <rFont val="맑은 고딕"/>
        <family val="3"/>
        <charset val="129"/>
      </rPr>
      <t>실제총기간</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</si>
  <si>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You didn't choose a source field.</t>
  </si>
  <si>
    <r>
      <rPr>
        <sz val="9"/>
        <color rgb="FF000000"/>
        <rFont val="맑은 고딕"/>
        <family val="3"/>
        <charset val="129"/>
      </rPr>
      <t>계획진척율</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</si>
  <si>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Deliverables type is not selected</t>
  </si>
  <si>
    <t>* "스케줄업데이트" 버튼 클릭 시 아래 항목이 자동계산됩니다.</t>
  </si>
  <si>
    <r>
      <rPr>
        <sz val="9"/>
        <color rgb="FF000000"/>
        <rFont val="맑은 고딕"/>
        <family val="3"/>
        <charset val="129"/>
      </rPr>
      <t>산출물</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</si>
  <si>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rPr>
        <sz val="9"/>
        <color rgb="FF000000"/>
        <rFont val="맑은 고딕"/>
        <family val="3"/>
        <charset val="129"/>
      </rPr>
      <t>완료일</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</si>
  <si>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rPr>
        <sz val="9"/>
        <color rgb="FF000000"/>
        <rFont val="맑은 고딕"/>
        <family val="3"/>
        <charset val="129"/>
      </rPr>
      <t>입력한</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기간의</t>
    </r>
    <r>
      <rPr>
        <sz val="9"/>
        <color rgb="FF000000"/>
        <rFont val="Calibri"/>
        <family val="2"/>
      </rPr>
      <t xml:space="preserve"> </t>
    </r>
    <r>
      <rPr>
        <sz val="9"/>
        <color rgb="FF000000"/>
        <rFont val="맑은 고딕"/>
        <family val="3"/>
        <charset val="129"/>
      </rPr>
      <t>완료일</t>
    </r>
    <r>
      <rPr>
        <sz val="9"/>
        <color rgb="FF000000"/>
        <rFont val="Calibri"/>
        <family val="2"/>
      </rPr>
      <t>({})</t>
    </r>
    <r>
      <rPr>
        <sz val="9"/>
        <color rgb="FF000000"/>
        <rFont val="맑은 고딕"/>
        <family val="3"/>
        <charset val="129"/>
      </rPr>
      <t>이</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아닙니다</t>
    </r>
    <r>
      <rPr>
        <sz val="9"/>
        <color rgb="FF000000"/>
        <rFont val="Calibri"/>
        <family val="2"/>
      </rPr>
      <t>.</t>
    </r>
  </si>
  <si>
    <r>
      <rPr>
        <sz val="9"/>
        <color rgb="FF000000"/>
        <rFont val="맑은 고딕"/>
        <family val="3"/>
        <charset val="129"/>
      </rPr>
      <t>시작일</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</si>
  <si>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Calculation Base Date of Planned %Work Complete must be greater than or equal to project start date.</t>
  </si>
  <si>
    <r>
      <rPr>
        <sz val="9"/>
        <color rgb="FF000000"/>
        <rFont val="맑은 고딕"/>
        <family val="3"/>
        <charset val="129"/>
      </rPr>
      <t>일정을</t>
    </r>
    <r>
      <rPr>
        <sz val="9"/>
        <color rgb="FF000000"/>
        <rFont val="Calibri"/>
        <family val="2"/>
      </rPr>
      <t xml:space="preserve"> </t>
    </r>
    <r>
      <rPr>
        <sz val="9"/>
        <color rgb="FF000000"/>
        <rFont val="맑은 고딕"/>
        <family val="3"/>
        <charset val="129"/>
      </rPr>
      <t>관리할</t>
    </r>
    <r>
      <rPr>
        <sz val="9"/>
        <color rgb="FF000000"/>
        <rFont val="Calibri"/>
        <family val="2"/>
      </rPr>
      <t xml:space="preserve"> </t>
    </r>
    <r>
      <rPr>
        <sz val="9"/>
        <color rgb="FF000000"/>
        <rFont val="맑은 고딕"/>
        <family val="3"/>
        <charset val="129"/>
      </rPr>
      <t>때</t>
    </r>
    <r>
      <rPr>
        <sz val="9"/>
        <color rgb="FF000000"/>
        <rFont val="Calibri"/>
        <family val="2"/>
      </rPr>
      <t xml:space="preserve"> </t>
    </r>
    <r>
      <rPr>
        <sz val="9"/>
        <color rgb="FF000000"/>
        <rFont val="맑은 고딕"/>
        <family val="3"/>
        <charset val="129"/>
      </rPr>
      <t>작업</t>
    </r>
    <r>
      <rPr>
        <sz val="9"/>
        <color rgb="FF000000"/>
        <rFont val="Calibri"/>
        <family val="2"/>
      </rPr>
      <t xml:space="preserve"> </t>
    </r>
    <r>
      <rPr>
        <sz val="9"/>
        <color rgb="FF000000"/>
        <rFont val="맑은 고딕"/>
        <family val="3"/>
        <charset val="129"/>
      </rPr>
      <t>시작일</t>
    </r>
    <r>
      <rPr>
        <sz val="9"/>
        <color rgb="FF000000"/>
        <rFont val="Calibri"/>
        <family val="2"/>
      </rPr>
      <t>/</t>
    </r>
    <r>
      <rPr>
        <sz val="9"/>
        <color rgb="FF000000"/>
        <rFont val="맑은 고딕"/>
        <family val="3"/>
        <charset val="129"/>
      </rPr>
      <t>완료일</t>
    </r>
    <r>
      <rPr>
        <sz val="9"/>
        <color rgb="FF000000"/>
        <rFont val="Calibri"/>
        <family val="2"/>
      </rPr>
      <t xml:space="preserve">, </t>
    </r>
    <r>
      <rPr>
        <sz val="9"/>
        <color rgb="FF000000"/>
        <rFont val="맑은 고딕"/>
        <family val="3"/>
        <charset val="129"/>
      </rPr>
      <t>실제시작일</t>
    </r>
    <r>
      <rPr>
        <sz val="9"/>
        <color rgb="FF000000"/>
        <rFont val="Calibri"/>
        <family val="2"/>
      </rPr>
      <t>/</t>
    </r>
    <r>
      <rPr>
        <sz val="9"/>
        <color rgb="FF000000"/>
        <rFont val="맑은 고딕"/>
        <family val="3"/>
        <charset val="129"/>
      </rPr>
      <t>실제완료일을</t>
    </r>
    <r>
      <rPr>
        <sz val="9"/>
        <color rgb="FF000000"/>
        <rFont val="Calibri"/>
        <family val="2"/>
      </rPr>
      <t xml:space="preserve"> </t>
    </r>
    <r>
      <rPr>
        <sz val="9"/>
        <color rgb="FF000000"/>
        <rFont val="맑은 고딕"/>
        <family val="3"/>
        <charset val="129"/>
      </rPr>
      <t>사용합니다</t>
    </r>
    <r>
      <rPr>
        <sz val="9"/>
        <color rgb="FF000000"/>
        <rFont val="Calibri"/>
        <family val="2"/>
      </rPr>
      <t xml:space="preserve">. </t>
    </r>
    <r>
      <rPr>
        <sz val="9"/>
        <color rgb="FF000000"/>
        <rFont val="맑은 고딕"/>
        <family val="3"/>
        <charset val="129"/>
      </rPr>
      <t>실제</t>
    </r>
    <r>
      <rPr>
        <sz val="9"/>
        <color rgb="FF000000"/>
        <rFont val="Calibri"/>
        <family val="2"/>
      </rPr>
      <t xml:space="preserve"> </t>
    </r>
    <r>
      <rPr>
        <sz val="9"/>
        <color rgb="FF000000"/>
        <rFont val="맑은 고딕"/>
        <family val="3"/>
        <charset val="129"/>
      </rPr>
      <t>시작된</t>
    </r>
    <r>
      <rPr>
        <sz val="9"/>
        <color rgb="FF000000"/>
        <rFont val="Calibri"/>
        <family val="2"/>
      </rPr>
      <t xml:space="preserve"> </t>
    </r>
    <r>
      <rPr>
        <sz val="9"/>
        <color rgb="FF000000"/>
        <rFont val="맑은 고딕"/>
        <family val="3"/>
        <charset val="129"/>
      </rPr>
      <t>날짜와</t>
    </r>
    <r>
      <rPr>
        <sz val="9"/>
        <color rgb="FF000000"/>
        <rFont val="Calibri"/>
        <family val="2"/>
      </rPr>
      <t xml:space="preserve"> </t>
    </r>
    <r>
      <rPr>
        <sz val="9"/>
        <color rgb="FF000000"/>
        <rFont val="맑은 고딕"/>
        <family val="3"/>
        <charset val="129"/>
      </rPr>
      <t>실제</t>
    </r>
    <r>
      <rPr>
        <sz val="9"/>
        <color rgb="FF000000"/>
        <rFont val="Calibri"/>
        <family val="2"/>
      </rPr>
      <t xml:space="preserve"> </t>
    </r>
    <r>
      <rPr>
        <sz val="9"/>
        <color rgb="FF000000"/>
        <rFont val="맑은 고딕"/>
        <family val="3"/>
        <charset val="129"/>
      </rPr>
      <t>완료된</t>
    </r>
    <r>
      <rPr>
        <sz val="9"/>
        <color rgb="FF000000"/>
        <rFont val="Calibri"/>
        <family val="2"/>
      </rPr>
      <t xml:space="preserve"> </t>
    </r>
    <r>
      <rPr>
        <sz val="9"/>
        <color rgb="FF000000"/>
        <rFont val="맑은 고딕"/>
        <family val="3"/>
        <charset val="129"/>
      </rPr>
      <t>날짜를</t>
    </r>
    <r>
      <rPr>
        <sz val="9"/>
        <color rgb="FF000000"/>
        <rFont val="Calibri"/>
        <family val="2"/>
      </rPr>
      <t xml:space="preserve"> </t>
    </r>
    <r>
      <rPr>
        <sz val="9"/>
        <color rgb="FF000000"/>
        <rFont val="맑은 고딕"/>
        <family val="3"/>
        <charset val="129"/>
      </rPr>
      <t>입력하여</t>
    </r>
    <r>
      <rPr>
        <sz val="9"/>
        <color rgb="FF000000"/>
        <rFont val="Calibri"/>
        <family val="2"/>
      </rPr>
      <t xml:space="preserve"> </t>
    </r>
    <r>
      <rPr>
        <sz val="9"/>
        <color rgb="FF000000"/>
        <rFont val="맑은 고딕"/>
        <family val="3"/>
        <charset val="129"/>
      </rPr>
      <t>일정이</t>
    </r>
    <r>
      <rPr>
        <sz val="9"/>
        <color rgb="FF000000"/>
        <rFont val="Calibri"/>
        <family val="2"/>
      </rPr>
      <t xml:space="preserve"> </t>
    </r>
    <r>
      <rPr>
        <sz val="9"/>
        <color rgb="FF000000"/>
        <rFont val="맑은 고딕"/>
        <family val="3"/>
        <charset val="129"/>
      </rPr>
      <t>지연되었거나</t>
    </r>
    <r>
      <rPr>
        <sz val="9"/>
        <color rgb="FF000000"/>
        <rFont val="Calibri"/>
        <family val="2"/>
      </rPr>
      <t xml:space="preserve"> </t>
    </r>
    <r>
      <rPr>
        <sz val="9"/>
        <color rgb="FF000000"/>
        <rFont val="맑은 고딕"/>
        <family val="3"/>
        <charset val="129"/>
      </rPr>
      <t>빨리</t>
    </r>
    <r>
      <rPr>
        <sz val="9"/>
        <color rgb="FF000000"/>
        <rFont val="Calibri"/>
        <family val="2"/>
      </rPr>
      <t xml:space="preserve"> </t>
    </r>
    <r>
      <rPr>
        <sz val="9"/>
        <color rgb="FF000000"/>
        <rFont val="맑은 고딕"/>
        <family val="3"/>
        <charset val="129"/>
      </rPr>
      <t>진행된</t>
    </r>
    <r>
      <rPr>
        <sz val="9"/>
        <color rgb="FF000000"/>
        <rFont val="Calibri"/>
        <family val="2"/>
      </rPr>
      <t xml:space="preserve"> </t>
    </r>
    <r>
      <rPr>
        <sz val="9"/>
        <color rgb="FF000000"/>
        <rFont val="맑은 고딕"/>
        <family val="3"/>
        <charset val="129"/>
      </rPr>
      <t>것을</t>
    </r>
    <r>
      <rPr>
        <sz val="9"/>
        <color rgb="FF000000"/>
        <rFont val="Calibri"/>
        <family val="2"/>
      </rPr>
      <t xml:space="preserve"> </t>
    </r>
    <r>
      <rPr>
        <sz val="9"/>
        <color rgb="FF000000"/>
        <rFont val="맑은 고딕"/>
        <family val="3"/>
        <charset val="129"/>
      </rPr>
      <t>관리할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 xml:space="preserve">.  </t>
    </r>
  </si>
  <si>
    <t>The "WBS Level" column has been deleted. Please retry after changing the sheet to its previous state.</t>
  </si>
  <si>
    <t>The "Start Date" column has been deleted. Please retry after changing the sheet to its previous state.</t>
  </si>
  <si>
    <t>The "Total Work" column has been deleted. Please retry after changing the sheet to its previous state.</t>
  </si>
  <si>
    <t>Performed workload on planned schedule when managing schedule changes(Total Duration x %Work Complete)</t>
  </si>
  <si>
    <t>The "Finish Date" column has been deleted. Please retry after changing the sheet to its previous state.</t>
  </si>
  <si>
    <t>The "Resources" column has been deleted. Please retry after changing the sheet to its previous state.</t>
  </si>
  <si>
    <t>* You need to click the "Workloads by Weeks" or "Workloads by Months" button to update the contents.</t>
  </si>
  <si>
    <t>The "Calendar" column has been deleted. Please retry after changing the sheet to its previous state.</t>
  </si>
  <si>
    <t>There is an error in the total workload or planned workload field of row number {1} in the {2} sheet. Please check that the start / finish date was entered correctly, or that the formula is correct.</t>
  </si>
  <si>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</si>
  <si>
    <r>
      <t xml:space="preserve">* XLGantt </t>
    </r>
    <r>
      <rPr>
        <sz val="9"/>
        <color rgb="FF000000"/>
        <rFont val="맑은 고딕"/>
        <family val="3"/>
        <charset val="129"/>
      </rPr>
      <t>파일이</t>
    </r>
    <r>
      <rPr>
        <sz val="9"/>
        <color rgb="FF000000"/>
        <rFont val="Calibri"/>
        <family val="2"/>
      </rPr>
      <t xml:space="preserve"> </t>
    </r>
    <r>
      <rPr>
        <sz val="9"/>
        <color rgb="FF000000"/>
        <rFont val="맑은 고딕"/>
        <family val="3"/>
        <charset val="129"/>
      </rPr>
      <t>아닌</t>
    </r>
    <r>
      <rPr>
        <sz val="9"/>
        <color rgb="FF000000"/>
        <rFont val="Calibri"/>
        <family val="2"/>
      </rPr>
      <t xml:space="preserve"> Excel</t>
    </r>
    <r>
      <rPr>
        <sz val="9"/>
        <color rgb="FF000000"/>
        <rFont val="맑은 고딕"/>
        <family val="3"/>
        <charset val="129"/>
      </rPr>
      <t>파일</t>
    </r>
    <r>
      <rPr>
        <sz val="9"/>
        <color rgb="FF000000"/>
        <rFont val="Calibri"/>
        <family val="2"/>
      </rPr>
      <t>(1</t>
    </r>
    <r>
      <rPr>
        <sz val="9"/>
        <color rgb="FF000000"/>
        <rFont val="맑은 고딕"/>
        <family val="3"/>
        <charset val="129"/>
      </rPr>
      <t>행은</t>
    </r>
    <r>
      <rPr>
        <sz val="9"/>
        <color rgb="FF000000"/>
        <rFont val="Calibri"/>
        <family val="2"/>
      </rPr>
      <t xml:space="preserve"> </t>
    </r>
    <r>
      <rPr>
        <sz val="9"/>
        <color rgb="FF000000"/>
        <rFont val="맑은 고딕"/>
        <family val="3"/>
        <charset val="129"/>
      </rPr>
      <t>제목</t>
    </r>
    <r>
      <rPr>
        <sz val="9"/>
        <color rgb="FF000000"/>
        <rFont val="Calibri"/>
        <family val="2"/>
      </rPr>
      <t>, 2</t>
    </r>
    <r>
      <rPr>
        <sz val="9"/>
        <color rgb="FF000000"/>
        <rFont val="맑은 고딕"/>
        <family val="3"/>
        <charset val="129"/>
      </rPr>
      <t>행부터</t>
    </r>
    <r>
      <rPr>
        <sz val="9"/>
        <color rgb="FF000000"/>
        <rFont val="Calibri"/>
        <family val="2"/>
      </rPr>
      <t xml:space="preserve"> </t>
    </r>
    <r>
      <rPr>
        <sz val="9"/>
        <color rgb="FF000000"/>
        <rFont val="맑은 고딕"/>
        <family val="3"/>
        <charset val="129"/>
      </rPr>
      <t>내용이</t>
    </r>
    <r>
      <rPr>
        <sz val="9"/>
        <color rgb="FF000000"/>
        <rFont val="Calibri"/>
        <family val="2"/>
      </rPr>
      <t xml:space="preserve"> </t>
    </r>
    <r>
      <rPr>
        <sz val="9"/>
        <color rgb="FF000000"/>
        <rFont val="맑은 고딕"/>
        <family val="3"/>
        <charset val="129"/>
      </rPr>
      <t>있는</t>
    </r>
    <r>
      <rPr>
        <sz val="9"/>
        <color rgb="FF000000"/>
        <rFont val="Calibri"/>
        <family val="2"/>
      </rPr>
      <t xml:space="preserve"> </t>
    </r>
    <r>
      <rPr>
        <sz val="9"/>
        <color rgb="FF000000"/>
        <rFont val="맑은 고딕"/>
        <family val="3"/>
        <charset val="129"/>
      </rPr>
      <t>파일</t>
    </r>
    <r>
      <rPr>
        <sz val="9"/>
        <color rgb="FF000000"/>
        <rFont val="Calibri"/>
        <family val="2"/>
      </rPr>
      <t xml:space="preserve">)\n* </t>
    </r>
    <r>
      <rPr>
        <sz val="9"/>
        <color rgb="FF000000"/>
        <rFont val="맑은 고딕"/>
        <family val="3"/>
        <charset val="129"/>
      </rPr>
      <t>자료갯수</t>
    </r>
    <r>
      <rPr>
        <sz val="9"/>
        <color rgb="FF000000"/>
        <rFont val="Calibri"/>
        <family val="2"/>
      </rPr>
      <t xml:space="preserve"> </t>
    </r>
    <r>
      <rPr>
        <sz val="9"/>
        <color rgb="FF000000"/>
        <rFont val="맑은 고딕"/>
        <family val="3"/>
        <charset val="129"/>
      </rPr>
      <t>제한</t>
    </r>
    <r>
      <rPr>
        <sz val="9"/>
        <color rgb="FF000000"/>
        <rFont val="Calibri"/>
        <family val="2"/>
      </rPr>
      <t xml:space="preserve"> </t>
    </r>
    <r>
      <rPr>
        <sz val="9"/>
        <color rgb="FF000000"/>
        <rFont val="맑은 고딕"/>
        <family val="3"/>
        <charset val="129"/>
      </rPr>
      <t>없음</t>
    </r>
    <r>
      <rPr>
        <sz val="9"/>
        <color rgb="FF000000"/>
        <rFont val="Calibri"/>
        <family val="2"/>
      </rPr>
      <t xml:space="preserve">\n* </t>
    </r>
    <r>
      <rPr>
        <sz val="9"/>
        <color rgb="FF000000"/>
        <rFont val="맑은 고딕"/>
        <family val="3"/>
        <charset val="129"/>
      </rPr>
      <t>한번에</t>
    </r>
    <r>
      <rPr>
        <sz val="9"/>
        <color rgb="FF000000"/>
        <rFont val="Calibri"/>
        <family val="2"/>
      </rPr>
      <t xml:space="preserve"> </t>
    </r>
    <r>
      <rPr>
        <sz val="9"/>
        <color rgb="FF000000"/>
        <rFont val="맑은 고딕"/>
        <family val="3"/>
        <charset val="129"/>
      </rPr>
      <t>한개의</t>
    </r>
    <r>
      <rPr>
        <sz val="9"/>
        <color rgb="FF000000"/>
        <rFont val="Calibri"/>
        <family val="2"/>
      </rPr>
      <t xml:space="preserve"> </t>
    </r>
    <r>
      <rPr>
        <sz val="9"/>
        <color rgb="FF000000"/>
        <rFont val="맑은 고딕"/>
        <family val="3"/>
        <charset val="129"/>
      </rPr>
      <t>파일만</t>
    </r>
    <r>
      <rPr>
        <sz val="9"/>
        <color rgb="FF000000"/>
        <rFont val="Calibri"/>
        <family val="2"/>
      </rPr>
      <t xml:space="preserve"> </t>
    </r>
    <r>
      <rPr>
        <sz val="9"/>
        <color rgb="FF000000"/>
        <rFont val="맑은 고딕"/>
        <family val="3"/>
        <charset val="129"/>
      </rPr>
      <t>처리됨</t>
    </r>
  </si>
  <si>
    <t>Regardless of the language setting in computer O/S, you can choose a language directly</t>
  </si>
  <si>
    <t>The {} sheet does not exist. Please check that you have changed or deleted the sheet.</t>
  </si>
  <si>
    <t>Error! Calculated Total Man-Day is different from the Total Man-Day of the {} sheet.</t>
  </si>
  <si>
    <t>* This sheet shows you tasks, workloads, progresses(%Work complete), etc by resources.</t>
  </si>
  <si>
    <r>
      <rPr>
        <sz val="9"/>
        <color rgb="FF000000"/>
        <rFont val="맑은 고딕"/>
        <family val="3"/>
        <charset val="129"/>
      </rPr>
      <t>진척율선</t>
    </r>
    <r>
      <rPr>
        <sz val="9"/>
        <color rgb="FF000000"/>
        <rFont val="Calibri"/>
        <family val="2"/>
      </rPr>
      <t xml:space="preserve"> </t>
    </r>
    <r>
      <rPr>
        <sz val="9"/>
        <color rgb="FF000000"/>
        <rFont val="맑은 고딕"/>
        <family val="3"/>
        <charset val="129"/>
      </rPr>
      <t>그리기</t>
    </r>
    <r>
      <rPr>
        <sz val="9"/>
        <color rgb="FF000000"/>
        <rFont val="Calibri"/>
        <family val="2"/>
      </rPr>
      <t xml:space="preserve"> </t>
    </r>
    <r>
      <rPr>
        <sz val="9"/>
        <color rgb="FF000000"/>
        <rFont val="맑은 고딕"/>
        <family val="3"/>
        <charset val="129"/>
      </rPr>
      <t>작업</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에러가</t>
    </r>
    <r>
      <rPr>
        <sz val="9"/>
        <color rgb="FF000000"/>
        <rFont val="Calibri"/>
        <family val="2"/>
      </rPr>
      <t xml:space="preserve"> </t>
    </r>
    <r>
      <rPr>
        <sz val="9"/>
        <color rgb="FF000000"/>
        <rFont val="맑은 고딕"/>
        <family val="3"/>
        <charset val="129"/>
      </rPr>
      <t>발생했습니다</t>
    </r>
    <r>
      <rPr>
        <sz val="9"/>
        <color rgb="FF000000"/>
        <rFont val="Calibri"/>
        <family val="2"/>
      </rPr>
      <t xml:space="preserve">. </t>
    </r>
    <r>
      <rPr>
        <sz val="9"/>
        <color rgb="FF000000"/>
        <rFont val="맑은 고딕"/>
        <family val="3"/>
        <charset val="129"/>
      </rPr>
      <t>실제시작일</t>
    </r>
    <r>
      <rPr>
        <sz val="9"/>
        <color rgb="FF000000"/>
        <rFont val="Calibri"/>
        <family val="2"/>
      </rPr>
      <t xml:space="preserve"> </t>
    </r>
    <r>
      <rPr>
        <sz val="9"/>
        <color rgb="FF000000"/>
        <rFont val="맑은 고딕"/>
        <family val="3"/>
        <charset val="129"/>
      </rPr>
      <t>또는</t>
    </r>
    <r>
      <rPr>
        <sz val="9"/>
        <color rgb="FF000000"/>
        <rFont val="Calibri"/>
        <family val="2"/>
      </rPr>
      <t xml:space="preserve"> </t>
    </r>
    <r>
      <rPr>
        <sz val="9"/>
        <color rgb="FF000000"/>
        <rFont val="맑은 고딕"/>
        <family val="3"/>
        <charset val="129"/>
      </rPr>
      <t>실제완료일이</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기간을</t>
    </r>
    <r>
      <rPr>
        <sz val="9"/>
        <color rgb="FF000000"/>
        <rFont val="Calibri"/>
        <family val="2"/>
      </rPr>
      <t xml:space="preserve"> </t>
    </r>
    <r>
      <rPr>
        <sz val="9"/>
        <color rgb="FF000000"/>
        <rFont val="맑은 고딕"/>
        <family val="3"/>
        <charset val="129"/>
      </rPr>
      <t>벗어난</t>
    </r>
    <r>
      <rPr>
        <sz val="9"/>
        <color rgb="FF000000"/>
        <rFont val="Calibri"/>
        <family val="2"/>
      </rPr>
      <t xml:space="preserve"> </t>
    </r>
    <r>
      <rPr>
        <sz val="9"/>
        <color rgb="FF000000"/>
        <rFont val="맑은 고딕"/>
        <family val="3"/>
        <charset val="129"/>
      </rPr>
      <t>경우에</t>
    </r>
    <r>
      <rPr>
        <sz val="9"/>
        <color rgb="FF000000"/>
        <rFont val="Calibri"/>
        <family val="2"/>
      </rPr>
      <t xml:space="preserve"> </t>
    </r>
    <r>
      <rPr>
        <sz val="9"/>
        <color rgb="FF000000"/>
        <rFont val="맑은 고딕"/>
        <family val="3"/>
        <charset val="129"/>
      </rPr>
      <t>발생할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 xml:space="preserve">. </t>
    </r>
    <r>
      <rPr>
        <sz val="9"/>
        <color rgb="FF000000"/>
        <rFont val="맑은 고딕"/>
        <family val="3"/>
        <charset val="129"/>
      </rPr>
      <t>아래의</t>
    </r>
    <r>
      <rPr>
        <sz val="9"/>
        <color rgb="FF000000"/>
        <rFont val="Calibri"/>
        <family val="2"/>
      </rPr>
      <t xml:space="preserve"> </t>
    </r>
    <r>
      <rPr>
        <sz val="9"/>
        <color rgb="FF000000"/>
        <rFont val="맑은 고딕"/>
        <family val="3"/>
        <charset val="129"/>
      </rPr>
      <t>메시지를</t>
    </r>
    <r>
      <rPr>
        <sz val="9"/>
        <color rgb="FF000000"/>
        <rFont val="Calibri"/>
        <family val="2"/>
      </rPr>
      <t xml:space="preserve"> </t>
    </r>
    <r>
      <rPr>
        <sz val="9"/>
        <color rgb="FF000000"/>
        <rFont val="맑은 고딕"/>
        <family val="3"/>
        <charset val="129"/>
      </rPr>
      <t>확인하십시오</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</si>
  <si>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총작업량</t>
    </r>
    <r>
      <rPr>
        <sz val="9"/>
        <color rgb="FF000000"/>
        <rFont val="Calibri"/>
        <family val="2"/>
      </rPr>
      <t xml:space="preserve"> </t>
    </r>
    <r>
      <rPr>
        <sz val="9"/>
        <color rgb="FF000000"/>
        <rFont val="맑은 고딕"/>
        <family val="3"/>
        <charset val="129"/>
      </rPr>
      <t>또는계획작업량</t>
    </r>
    <r>
      <rPr>
        <sz val="9"/>
        <color rgb="FF000000"/>
        <rFont val="Calibri"/>
        <family val="2"/>
      </rPr>
      <t xml:space="preserve"> </t>
    </r>
    <r>
      <rPr>
        <sz val="9"/>
        <color rgb="FF000000"/>
        <rFont val="맑은 고딕"/>
        <family val="3"/>
        <charset val="129"/>
      </rPr>
      <t>필드에</t>
    </r>
    <r>
      <rPr>
        <sz val="9"/>
        <color rgb="FF000000"/>
        <rFont val="Calibri"/>
        <family val="2"/>
      </rPr>
      <t xml:space="preserve"> </t>
    </r>
    <r>
      <rPr>
        <sz val="9"/>
        <color rgb="FF000000"/>
        <rFont val="맑은 고딕"/>
        <family val="3"/>
        <charset val="129"/>
      </rPr>
      <t>오류가</t>
    </r>
    <r>
      <rPr>
        <sz val="9"/>
        <color rgb="FF000000"/>
        <rFont val="Calibri"/>
        <family val="2"/>
      </rPr>
      <t xml:space="preserve"> </t>
    </r>
    <r>
      <rPr>
        <sz val="9"/>
        <color rgb="FF000000"/>
        <rFont val="맑은 고딕"/>
        <family val="3"/>
        <charset val="129"/>
      </rPr>
      <t>있습니다</t>
    </r>
    <r>
      <rPr>
        <sz val="9"/>
        <color rgb="FF000000"/>
        <rFont val="Calibri"/>
        <family val="2"/>
      </rPr>
      <t xml:space="preserve">. </t>
    </r>
    <r>
      <rPr>
        <sz val="9"/>
        <color rgb="FF000000"/>
        <rFont val="맑은 고딕"/>
        <family val="3"/>
        <charset val="129"/>
      </rPr>
      <t>시작일</t>
    </r>
    <r>
      <rPr>
        <sz val="9"/>
        <color rgb="FF000000"/>
        <rFont val="Calibri"/>
        <family val="2"/>
      </rPr>
      <t>/</t>
    </r>
    <r>
      <rPr>
        <sz val="9"/>
        <color rgb="FF000000"/>
        <rFont val="맑은 고딕"/>
        <family val="3"/>
        <charset val="129"/>
      </rPr>
      <t>완료일이</t>
    </r>
    <r>
      <rPr>
        <sz val="9"/>
        <color rgb="FF000000"/>
        <rFont val="Calibri"/>
        <family val="2"/>
      </rPr>
      <t xml:space="preserve"> </t>
    </r>
    <r>
      <rPr>
        <sz val="9"/>
        <color rgb="FF000000"/>
        <rFont val="맑은 고딕"/>
        <family val="3"/>
        <charset val="129"/>
      </rPr>
      <t>잘못</t>
    </r>
    <r>
      <rPr>
        <sz val="9"/>
        <color rgb="FF000000"/>
        <rFont val="Calibri"/>
        <family val="2"/>
      </rPr>
      <t xml:space="preserve"> </t>
    </r>
    <r>
      <rPr>
        <sz val="9"/>
        <color rgb="FF000000"/>
        <rFont val="맑은 고딕"/>
        <family val="3"/>
        <charset val="129"/>
      </rPr>
      <t>입력되었는지</t>
    </r>
    <r>
      <rPr>
        <sz val="9"/>
        <color rgb="FF000000"/>
        <rFont val="Calibri"/>
        <family val="2"/>
      </rPr>
      <t xml:space="preserve"> </t>
    </r>
    <r>
      <rPr>
        <sz val="9"/>
        <color rgb="FF000000"/>
        <rFont val="맑은 고딕"/>
        <family val="3"/>
        <charset val="129"/>
      </rPr>
      <t>또는</t>
    </r>
    <r>
      <rPr>
        <sz val="9"/>
        <color rgb="FF000000"/>
        <rFont val="Calibri"/>
        <family val="2"/>
      </rPr>
      <t xml:space="preserve"> </t>
    </r>
    <r>
      <rPr>
        <sz val="9"/>
        <color rgb="FF000000"/>
        <rFont val="맑은 고딕"/>
        <family val="3"/>
        <charset val="129"/>
      </rPr>
      <t>수식에</t>
    </r>
    <r>
      <rPr>
        <sz val="9"/>
        <color rgb="FF000000"/>
        <rFont val="Calibri"/>
        <family val="2"/>
      </rPr>
      <t xml:space="preserve"> </t>
    </r>
    <r>
      <rPr>
        <sz val="9"/>
        <color rgb="FF000000"/>
        <rFont val="맑은 고딕"/>
        <family val="3"/>
        <charset val="129"/>
      </rPr>
      <t>문제가</t>
    </r>
    <r>
      <rPr>
        <sz val="9"/>
        <color rgb="FF000000"/>
        <rFont val="Calibri"/>
        <family val="2"/>
      </rPr>
      <t xml:space="preserve"> </t>
    </r>
    <r>
      <rPr>
        <sz val="9"/>
        <color rgb="FF000000"/>
        <rFont val="맑은 고딕"/>
        <family val="3"/>
        <charset val="129"/>
      </rPr>
      <t>없는지</t>
    </r>
    <r>
      <rPr>
        <sz val="9"/>
        <color rgb="FF000000"/>
        <rFont val="Calibri"/>
        <family val="2"/>
      </rPr>
      <t xml:space="preserve"> </t>
    </r>
    <r>
      <rPr>
        <sz val="9"/>
        <color rgb="FF000000"/>
        <rFont val="맑은 고딕"/>
        <family val="3"/>
        <charset val="129"/>
      </rPr>
      <t>확인하세요</t>
    </r>
    <r>
      <rPr>
        <sz val="9"/>
        <color rgb="FF000000"/>
        <rFont val="Calibri"/>
        <family val="2"/>
      </rPr>
      <t>.</t>
    </r>
  </si>
  <si>
    <t>The "WBS" column has been deleted. Please retry after changing the sheet to its previous state.</t>
  </si>
  <si>
    <t>This XLGantt is not the latest version. Download the latest version from the following site.</t>
  </si>
  <si>
    <t>The actual start date of row number {1} in the {2} sheet is later than the actual finish date.</t>
  </si>
  <si>
    <t>Type a number between 0% and 100% in "%Work Complete" field of row number {1} in the {2} sheet.</t>
  </si>
  <si>
    <t>You can't import an Excel Macro file. Please import after saving it as an xls or xlsx file. If it is an XLGantt file, you can import it at the menu "Import files created in XLGantt"</t>
  </si>
  <si>
    <r>
      <rPr>
        <sz val="9"/>
        <color rgb="FF000000"/>
        <rFont val="맑은 고딕"/>
        <family val="3"/>
        <charset val="129"/>
      </rPr>
      <t>가장</t>
    </r>
    <r>
      <rPr>
        <sz val="9"/>
        <color rgb="FF000000"/>
        <rFont val="Calibri"/>
        <family val="2"/>
      </rPr>
      <t xml:space="preserve"> </t>
    </r>
    <r>
      <rPr>
        <sz val="9"/>
        <color rgb="FF000000"/>
        <rFont val="맑은 고딕"/>
        <family val="3"/>
        <charset val="129"/>
      </rPr>
      <t>빠른</t>
    </r>
    <r>
      <rPr>
        <sz val="9"/>
        <color rgb="FF000000"/>
        <rFont val="Calibri"/>
        <family val="2"/>
      </rPr>
      <t xml:space="preserve"> </t>
    </r>
    <r>
      <rPr>
        <sz val="9"/>
        <color rgb="FF000000"/>
        <rFont val="맑은 고딕"/>
        <family val="3"/>
        <charset val="129"/>
      </rPr>
      <t>작업의</t>
    </r>
    <r>
      <rPr>
        <sz val="9"/>
        <color rgb="FF000000"/>
        <rFont val="Calibri"/>
        <family val="2"/>
      </rPr>
      <t xml:space="preserve"> </t>
    </r>
    <r>
      <rPr>
        <sz val="9"/>
        <color rgb="FF000000"/>
        <rFont val="맑은 고딕"/>
        <family val="3"/>
        <charset val="129"/>
      </rPr>
      <t>시작일</t>
    </r>
    <r>
      <rPr>
        <sz val="9"/>
        <color rgb="FF000000"/>
        <rFont val="Calibri"/>
        <family val="2"/>
      </rPr>
      <t>({1})</t>
    </r>
    <r>
      <rPr>
        <sz val="9"/>
        <color rgb="FF000000"/>
        <rFont val="맑은 고딕"/>
        <family val="3"/>
        <charset val="129"/>
      </rPr>
      <t>이</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시작일</t>
    </r>
    <r>
      <rPr>
        <sz val="9"/>
        <color rgb="FF000000"/>
        <rFont val="Calibri"/>
        <family val="2"/>
      </rPr>
      <t>({2})</t>
    </r>
    <r>
      <rPr>
        <sz val="9"/>
        <color rgb="FF000000"/>
        <rFont val="맑은 고딕"/>
        <family val="3"/>
        <charset val="129"/>
      </rPr>
      <t>보다</t>
    </r>
    <r>
      <rPr>
        <sz val="9"/>
        <color rgb="FF000000"/>
        <rFont val="Calibri"/>
        <family val="2"/>
      </rPr>
      <t xml:space="preserve"> </t>
    </r>
    <r>
      <rPr>
        <sz val="9"/>
        <color rgb="FF000000"/>
        <rFont val="맑은 고딕"/>
        <family val="3"/>
        <charset val="129"/>
      </rPr>
      <t>더</t>
    </r>
    <r>
      <rPr>
        <sz val="9"/>
        <color rgb="FF000000"/>
        <rFont val="Calibri"/>
        <family val="2"/>
      </rPr>
      <t xml:space="preserve"> </t>
    </r>
    <r>
      <rPr>
        <sz val="9"/>
        <color rgb="FF000000"/>
        <rFont val="맑은 고딕"/>
        <family val="3"/>
        <charset val="129"/>
      </rPr>
      <t>빠릅니다</t>
    </r>
    <r>
      <rPr>
        <sz val="9"/>
        <color rgb="FF000000"/>
        <rFont val="Calibri"/>
        <family val="2"/>
      </rPr>
      <t>.\n\n</t>
    </r>
    <r>
      <rPr>
        <sz val="9"/>
        <color rgb="FF000000"/>
        <rFont val="맑은 고딕"/>
        <family val="3"/>
        <charset val="129"/>
      </rPr>
      <t>가장</t>
    </r>
    <r>
      <rPr>
        <sz val="9"/>
        <color rgb="FF000000"/>
        <rFont val="Calibri"/>
        <family val="2"/>
      </rPr>
      <t xml:space="preserve"> </t>
    </r>
    <r>
      <rPr>
        <sz val="9"/>
        <color rgb="FF000000"/>
        <rFont val="맑은 고딕"/>
        <family val="3"/>
        <charset val="129"/>
      </rPr>
      <t>늦은</t>
    </r>
    <r>
      <rPr>
        <sz val="9"/>
        <color rgb="FF000000"/>
        <rFont val="Calibri"/>
        <family val="2"/>
      </rPr>
      <t xml:space="preserve"> </t>
    </r>
    <r>
      <rPr>
        <sz val="9"/>
        <color rgb="FF000000"/>
        <rFont val="맑은 고딕"/>
        <family val="3"/>
        <charset val="129"/>
      </rPr>
      <t>완료일</t>
    </r>
    <r>
      <rPr>
        <sz val="9"/>
        <color rgb="FF000000"/>
        <rFont val="Calibri"/>
        <family val="2"/>
      </rPr>
      <t>({3})</t>
    </r>
    <r>
      <rPr>
        <sz val="9"/>
        <color rgb="FF000000"/>
        <rFont val="맑은 고딕"/>
        <family val="3"/>
        <charset val="129"/>
      </rPr>
      <t>이</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기간정보의</t>
    </r>
    <r>
      <rPr>
        <sz val="9"/>
        <color rgb="FF000000"/>
        <rFont val="Calibri"/>
        <family val="2"/>
      </rPr>
      <t xml:space="preserve"> </t>
    </r>
    <r>
      <rPr>
        <sz val="9"/>
        <color rgb="FF000000"/>
        <rFont val="맑은 고딕"/>
        <family val="3"/>
        <charset val="129"/>
      </rPr>
      <t>완료일</t>
    </r>
    <r>
      <rPr>
        <sz val="9"/>
        <color rgb="FF000000"/>
        <rFont val="Calibri"/>
        <family val="2"/>
      </rPr>
      <t>({4})</t>
    </r>
    <r>
      <rPr>
        <sz val="9"/>
        <color rgb="FF000000"/>
        <rFont val="맑은 고딕"/>
        <family val="3"/>
        <charset val="129"/>
      </rPr>
      <t>보다</t>
    </r>
    <r>
      <rPr>
        <sz val="9"/>
        <color rgb="FF000000"/>
        <rFont val="Calibri"/>
        <family val="2"/>
      </rPr>
      <t xml:space="preserve"> </t>
    </r>
    <r>
      <rPr>
        <sz val="9"/>
        <color rgb="FF000000"/>
        <rFont val="맑은 고딕"/>
        <family val="3"/>
        <charset val="129"/>
      </rPr>
      <t>더</t>
    </r>
    <r>
      <rPr>
        <sz val="9"/>
        <color rgb="FF000000"/>
        <rFont val="Calibri"/>
        <family val="2"/>
      </rPr>
      <t xml:space="preserve"> </t>
    </r>
    <r>
      <rPr>
        <sz val="9"/>
        <color rgb="FF000000"/>
        <rFont val="맑은 고딕"/>
        <family val="3"/>
        <charset val="129"/>
      </rPr>
      <t>늦습니다</t>
    </r>
    <r>
      <rPr>
        <sz val="9"/>
        <color rgb="FF000000"/>
        <rFont val="Calibri"/>
        <family val="2"/>
      </rPr>
      <t>.\n\n</t>
    </r>
    <r>
      <rPr>
        <sz val="9"/>
        <color rgb="FF000000"/>
        <rFont val="맑은 고딕"/>
        <family val="3"/>
        <charset val="129"/>
      </rPr>
      <t>이</t>
    </r>
    <r>
      <rPr>
        <sz val="9"/>
        <color rgb="FF000000"/>
        <rFont val="Calibri"/>
        <family val="2"/>
      </rPr>
      <t xml:space="preserve"> </t>
    </r>
    <r>
      <rPr>
        <sz val="9"/>
        <color rgb="FF000000"/>
        <rFont val="맑은 고딕"/>
        <family val="3"/>
        <charset val="129"/>
      </rPr>
      <t>경우</t>
    </r>
    <r>
      <rPr>
        <sz val="9"/>
        <color rgb="FF000000"/>
        <rFont val="Calibri"/>
        <family val="2"/>
      </rPr>
      <t xml:space="preserve"> </t>
    </r>
    <r>
      <rPr>
        <sz val="9"/>
        <color rgb="FF000000"/>
        <rFont val="맑은 고딕"/>
        <family val="3"/>
        <charset val="129"/>
      </rPr>
      <t>리소스</t>
    </r>
    <r>
      <rPr>
        <sz val="9"/>
        <color rgb="FF000000"/>
        <rFont val="Calibri"/>
        <family val="2"/>
      </rPr>
      <t xml:space="preserve"> </t>
    </r>
    <r>
      <rPr>
        <sz val="9"/>
        <color rgb="FF000000"/>
        <rFont val="맑은 고딕"/>
        <family val="3"/>
        <charset val="129"/>
      </rPr>
      <t>계산등에</t>
    </r>
    <r>
      <rPr>
        <sz val="9"/>
        <color rgb="FF000000"/>
        <rFont val="Calibri"/>
        <family val="2"/>
      </rPr>
      <t xml:space="preserve"> </t>
    </r>
    <r>
      <rPr>
        <sz val="9"/>
        <color rgb="FF000000"/>
        <rFont val="맑은 고딕"/>
        <family val="3"/>
        <charset val="129"/>
      </rPr>
      <t>문제가</t>
    </r>
    <r>
      <rPr>
        <sz val="9"/>
        <color rgb="FF000000"/>
        <rFont val="Calibri"/>
        <family val="2"/>
      </rPr>
      <t xml:space="preserve"> </t>
    </r>
    <r>
      <rPr>
        <sz val="9"/>
        <color rgb="FF000000"/>
        <rFont val="맑은 고딕"/>
        <family val="3"/>
        <charset val="129"/>
      </rPr>
      <t>있을</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 xml:space="preserve">. </t>
    </r>
    <r>
      <rPr>
        <sz val="9"/>
        <color rgb="FF000000"/>
        <rFont val="맑은 고딕"/>
        <family val="3"/>
        <charset val="129"/>
      </rPr>
      <t>시작일</t>
    </r>
    <r>
      <rPr>
        <sz val="9"/>
        <color rgb="FF000000"/>
        <rFont val="Calibri"/>
        <family val="2"/>
      </rPr>
      <t>,</t>
    </r>
    <r>
      <rPr>
        <sz val="9"/>
        <color rgb="FF000000"/>
        <rFont val="맑은 고딕"/>
        <family val="3"/>
        <charset val="129"/>
      </rPr>
      <t>완료일을</t>
    </r>
    <r>
      <rPr>
        <sz val="9"/>
        <color rgb="FF000000"/>
        <rFont val="Calibri"/>
        <family val="2"/>
      </rPr>
      <t xml:space="preserve"> </t>
    </r>
    <r>
      <rPr>
        <sz val="9"/>
        <color rgb="FF000000"/>
        <rFont val="맑은 고딕"/>
        <family val="3"/>
        <charset val="129"/>
      </rPr>
      <t>환경설정메뉴의</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기간내로</t>
    </r>
    <r>
      <rPr>
        <sz val="9"/>
        <color rgb="FF000000"/>
        <rFont val="Calibri"/>
        <family val="2"/>
      </rPr>
      <t xml:space="preserve"> </t>
    </r>
    <r>
      <rPr>
        <sz val="9"/>
        <color rgb="FF000000"/>
        <rFont val="맑은 고딕"/>
        <family val="3"/>
        <charset val="129"/>
      </rPr>
      <t>조정하거나</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기간을</t>
    </r>
    <r>
      <rPr>
        <sz val="9"/>
        <color rgb="FF000000"/>
        <rFont val="Calibri"/>
        <family val="2"/>
      </rPr>
      <t xml:space="preserve"> </t>
    </r>
    <r>
      <rPr>
        <sz val="9"/>
        <color rgb="FF000000"/>
        <rFont val="맑은 고딕"/>
        <family val="3"/>
        <charset val="129"/>
      </rPr>
      <t>조정하시기</t>
    </r>
    <r>
      <rPr>
        <sz val="9"/>
        <color rgb="FF000000"/>
        <rFont val="Calibri"/>
        <family val="2"/>
      </rPr>
      <t xml:space="preserve"> </t>
    </r>
    <r>
      <rPr>
        <sz val="9"/>
        <color rgb="FF000000"/>
        <rFont val="맑은 고딕"/>
        <family val="3"/>
        <charset val="129"/>
      </rPr>
      <t>바랍니다</t>
    </r>
    <r>
      <rPr>
        <sz val="9"/>
        <color rgb="FF000000"/>
        <rFont val="Calibri"/>
        <family val="2"/>
      </rPr>
      <t>.</t>
    </r>
  </si>
  <si>
    <r>
      <t xml:space="preserve">WBS(Work Breakdown Structure) </t>
    </r>
    <r>
      <rPr>
        <sz val="9"/>
        <color rgb="FF000000"/>
        <rFont val="맑은 고딕"/>
        <family val="3"/>
        <charset val="129"/>
      </rPr>
      <t>필드입니다</t>
    </r>
    <r>
      <rPr>
        <sz val="9"/>
        <color rgb="FF000000"/>
        <rFont val="Calibri"/>
        <family val="2"/>
      </rPr>
      <t xml:space="preserve">. </t>
    </r>
    <r>
      <rPr>
        <sz val="9"/>
        <color rgb="FF000000"/>
        <rFont val="맑은 고딕"/>
        <family val="3"/>
        <charset val="129"/>
      </rPr>
      <t>작업의</t>
    </r>
    <r>
      <rPr>
        <sz val="9"/>
        <color rgb="FF000000"/>
        <rFont val="Calibri"/>
        <family val="2"/>
      </rPr>
      <t xml:space="preserve"> Level</t>
    </r>
    <r>
      <rPr>
        <sz val="9"/>
        <color rgb="FF000000"/>
        <rFont val="맑은 고딕"/>
        <family val="3"/>
        <charset val="129"/>
      </rPr>
      <t>을</t>
    </r>
    <r>
      <rPr>
        <sz val="9"/>
        <color rgb="FF000000"/>
        <rFont val="Calibri"/>
        <family val="2"/>
      </rPr>
      <t xml:space="preserve"> </t>
    </r>
    <r>
      <rPr>
        <sz val="9"/>
        <color rgb="FF000000"/>
        <rFont val="맑은 고딕"/>
        <family val="3"/>
        <charset val="129"/>
      </rPr>
      <t>표시합니다</t>
    </r>
    <r>
      <rPr>
        <sz val="9"/>
        <color rgb="FF000000"/>
        <rFont val="Calibri"/>
        <family val="2"/>
      </rPr>
      <t xml:space="preserve">. 1.3.2 </t>
    </r>
    <r>
      <rPr>
        <sz val="9"/>
        <color rgb="FF000000"/>
        <rFont val="맑은 고딕"/>
        <family val="3"/>
        <charset val="129"/>
      </rPr>
      <t>등의</t>
    </r>
    <r>
      <rPr>
        <sz val="9"/>
        <color rgb="FF000000"/>
        <rFont val="Calibri"/>
        <family val="2"/>
      </rPr>
      <t xml:space="preserve"> </t>
    </r>
    <r>
      <rPr>
        <sz val="9"/>
        <color rgb="FF000000"/>
        <rFont val="맑은 고딕"/>
        <family val="3"/>
        <charset val="129"/>
      </rPr>
      <t>형식으로</t>
    </r>
    <r>
      <rPr>
        <sz val="9"/>
        <color rgb="FF000000"/>
        <rFont val="Calibri"/>
        <family val="2"/>
      </rPr>
      <t xml:space="preserve"> </t>
    </r>
    <r>
      <rPr>
        <sz val="9"/>
        <color rgb="FF000000"/>
        <rFont val="맑은 고딕"/>
        <family val="3"/>
        <charset val="129"/>
      </rPr>
      <t>표시됩니다</t>
    </r>
    <r>
      <rPr>
        <sz val="9"/>
        <color rgb="FF000000"/>
        <rFont val="Calibri"/>
        <family val="2"/>
      </rPr>
      <t>. WBS</t>
    </r>
    <r>
      <rPr>
        <sz val="9"/>
        <color rgb="FF000000"/>
        <rFont val="맑은 고딕"/>
        <family val="3"/>
        <charset val="129"/>
      </rPr>
      <t>대신</t>
    </r>
    <r>
      <rPr>
        <sz val="9"/>
        <color rgb="FF000000"/>
        <rFont val="Calibri"/>
        <family val="2"/>
      </rPr>
      <t xml:space="preserve"> </t>
    </r>
    <r>
      <rPr>
        <sz val="9"/>
        <color rgb="FF000000"/>
        <rFont val="맑은 고딕"/>
        <family val="3"/>
        <charset val="129"/>
      </rPr>
      <t>개요수준</t>
    </r>
    <r>
      <rPr>
        <sz val="9"/>
        <color rgb="FF000000"/>
        <rFont val="Calibri"/>
        <family val="2"/>
      </rPr>
      <t>(</t>
    </r>
    <r>
      <rPr>
        <sz val="9"/>
        <color rgb="FF000000"/>
        <rFont val="맑은 고딕"/>
        <family val="3"/>
        <charset val="129"/>
      </rPr>
      <t>작업</t>
    </r>
    <r>
      <rPr>
        <sz val="9"/>
        <color rgb="FF000000"/>
        <rFont val="Calibri"/>
        <family val="2"/>
      </rPr>
      <t>Level)</t>
    </r>
    <r>
      <rPr>
        <sz val="9"/>
        <color rgb="FF000000"/>
        <rFont val="맑은 고딕"/>
        <family val="3"/>
        <charset val="129"/>
      </rPr>
      <t>필드를</t>
    </r>
    <r>
      <rPr>
        <sz val="9"/>
        <color rgb="FF000000"/>
        <rFont val="Calibri"/>
        <family val="2"/>
      </rPr>
      <t xml:space="preserve"> </t>
    </r>
    <r>
      <rPr>
        <sz val="9"/>
        <color rgb="FF000000"/>
        <rFont val="맑은 고딕"/>
        <family val="3"/>
        <charset val="129"/>
      </rPr>
      <t>사용하기도</t>
    </r>
    <r>
      <rPr>
        <sz val="9"/>
        <color rgb="FF000000"/>
        <rFont val="Calibri"/>
        <family val="2"/>
      </rPr>
      <t xml:space="preserve"> </t>
    </r>
    <r>
      <rPr>
        <sz val="9"/>
        <color rgb="FF000000"/>
        <rFont val="맑은 고딕"/>
        <family val="3"/>
        <charset val="129"/>
      </rPr>
      <t>합니다</t>
    </r>
    <r>
      <rPr>
        <sz val="9"/>
        <color rgb="FF000000"/>
        <rFont val="Calibri"/>
        <family val="2"/>
      </rPr>
      <t xml:space="preserve">. </t>
    </r>
    <r>
      <rPr>
        <sz val="9"/>
        <color rgb="FF000000"/>
        <rFont val="맑은 고딕"/>
        <family val="3"/>
        <charset val="129"/>
      </rPr>
      <t>예를</t>
    </r>
    <r>
      <rPr>
        <sz val="9"/>
        <color rgb="FF000000"/>
        <rFont val="Calibri"/>
        <family val="2"/>
      </rPr>
      <t xml:space="preserve"> </t>
    </r>
    <r>
      <rPr>
        <sz val="9"/>
        <color rgb="FF000000"/>
        <rFont val="맑은 고딕"/>
        <family val="3"/>
        <charset val="129"/>
      </rPr>
      <t>들어</t>
    </r>
    <r>
      <rPr>
        <sz val="9"/>
        <color rgb="FF000000"/>
        <rFont val="Calibri"/>
        <family val="2"/>
      </rPr>
      <t xml:space="preserve"> 2 Level</t>
    </r>
    <r>
      <rPr>
        <sz val="9"/>
        <color rgb="FF000000"/>
        <rFont val="맑은 고딕"/>
        <family val="3"/>
        <charset val="129"/>
      </rPr>
      <t>의</t>
    </r>
    <r>
      <rPr>
        <sz val="9"/>
        <color rgb="FF000000"/>
        <rFont val="Calibri"/>
        <family val="2"/>
      </rPr>
      <t xml:space="preserve"> </t>
    </r>
    <r>
      <rPr>
        <sz val="9"/>
        <color rgb="FF000000"/>
        <rFont val="맑은 고딕"/>
        <family val="3"/>
        <charset val="129"/>
      </rPr>
      <t>작업이면</t>
    </r>
    <r>
      <rPr>
        <sz val="9"/>
        <color rgb="FF000000"/>
        <rFont val="Calibri"/>
        <family val="2"/>
      </rPr>
      <t xml:space="preserve"> </t>
    </r>
    <r>
      <rPr>
        <sz val="9"/>
        <color rgb="FF000000"/>
        <rFont val="맑은 고딕"/>
        <family val="3"/>
        <charset val="129"/>
      </rPr>
      <t>숫자</t>
    </r>
    <r>
      <rPr>
        <sz val="9"/>
        <color rgb="FF000000"/>
        <rFont val="Calibri"/>
        <family val="2"/>
      </rPr>
      <t xml:space="preserve"> 2</t>
    </r>
    <r>
      <rPr>
        <sz val="9"/>
        <color rgb="FF000000"/>
        <rFont val="맑은 고딕"/>
        <family val="3"/>
        <charset val="129"/>
      </rPr>
      <t>로</t>
    </r>
    <r>
      <rPr>
        <sz val="9"/>
        <color rgb="FF000000"/>
        <rFont val="Calibri"/>
        <family val="2"/>
      </rPr>
      <t xml:space="preserve"> </t>
    </r>
    <r>
      <rPr>
        <sz val="9"/>
        <color rgb="FF000000"/>
        <rFont val="맑은 고딕"/>
        <family val="3"/>
        <charset val="129"/>
      </rPr>
      <t>표시됩니다</t>
    </r>
    <r>
      <rPr>
        <sz val="9"/>
        <color rgb="FF000000"/>
        <rFont val="Calibri"/>
        <family val="2"/>
      </rPr>
      <t>.</t>
    </r>
  </si>
  <si>
    <r>
      <rPr>
        <sz val="9"/>
        <color rgb="FF000000"/>
        <rFont val="맑은 고딕"/>
        <family val="3"/>
        <charset val="129"/>
      </rPr>
      <t>작업</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에러가</t>
    </r>
    <r>
      <rPr>
        <sz val="9"/>
        <color rgb="FF000000"/>
        <rFont val="Calibri"/>
        <family val="2"/>
      </rPr>
      <t xml:space="preserve"> </t>
    </r>
    <r>
      <rPr>
        <sz val="9"/>
        <color rgb="FF000000"/>
        <rFont val="맑은 고딕"/>
        <family val="3"/>
        <charset val="129"/>
      </rPr>
      <t>발생했습니다</t>
    </r>
    <r>
      <rPr>
        <sz val="9"/>
        <color rgb="FF000000"/>
        <rFont val="Calibri"/>
        <family val="2"/>
      </rPr>
      <t xml:space="preserve">. </t>
    </r>
    <r>
      <rPr>
        <sz val="9"/>
        <color rgb="FF000000"/>
        <rFont val="맑은 고딕"/>
        <family val="3"/>
        <charset val="129"/>
      </rPr>
      <t>원인은</t>
    </r>
    <r>
      <rPr>
        <sz val="9"/>
        <color rgb="FF000000"/>
        <rFont val="Calibri"/>
        <family val="2"/>
      </rPr>
      <t xml:space="preserve"> </t>
    </r>
    <r>
      <rPr>
        <sz val="9"/>
        <color rgb="FF000000"/>
        <rFont val="맑은 고딕"/>
        <family val="3"/>
        <charset val="129"/>
      </rPr>
      <t>다음</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하나일</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 xml:space="preserve">.\n - </t>
    </r>
    <r>
      <rPr>
        <sz val="9"/>
        <color rgb="FF000000"/>
        <rFont val="맑은 고딕"/>
        <family val="3"/>
        <charset val="129"/>
      </rPr>
      <t>파일이</t>
    </r>
    <r>
      <rPr>
        <sz val="9"/>
        <color rgb="FF000000"/>
        <rFont val="Calibri"/>
        <family val="2"/>
      </rPr>
      <t xml:space="preserve"> </t>
    </r>
    <r>
      <rPr>
        <sz val="9"/>
        <color rgb="FF000000"/>
        <rFont val="맑은 고딕"/>
        <family val="3"/>
        <charset val="129"/>
      </rPr>
      <t>비정상적인</t>
    </r>
    <r>
      <rPr>
        <sz val="9"/>
        <color rgb="FF000000"/>
        <rFont val="Calibri"/>
        <family val="2"/>
      </rPr>
      <t xml:space="preserve"> </t>
    </r>
    <r>
      <rPr>
        <sz val="9"/>
        <color rgb="FF000000"/>
        <rFont val="맑은 고딕"/>
        <family val="3"/>
        <charset val="129"/>
      </rPr>
      <t>경우</t>
    </r>
    <r>
      <rPr>
        <sz val="9"/>
        <color rgb="FF000000"/>
        <rFont val="Calibri"/>
        <family val="2"/>
      </rPr>
      <t>(XLGantt</t>
    </r>
    <r>
      <rPr>
        <sz val="9"/>
        <color rgb="FF000000"/>
        <rFont val="맑은 고딕"/>
        <family val="3"/>
        <charset val="129"/>
      </rPr>
      <t>파일이</t>
    </r>
    <r>
      <rPr>
        <sz val="9"/>
        <color rgb="FF000000"/>
        <rFont val="Calibri"/>
        <family val="2"/>
      </rPr>
      <t xml:space="preserve"> </t>
    </r>
    <r>
      <rPr>
        <sz val="9"/>
        <color rgb="FF000000"/>
        <rFont val="맑은 고딕"/>
        <family val="3"/>
        <charset val="129"/>
      </rPr>
      <t>손상된</t>
    </r>
    <r>
      <rPr>
        <sz val="9"/>
        <color rgb="FF000000"/>
        <rFont val="Calibri"/>
        <family val="2"/>
      </rPr>
      <t xml:space="preserve"> </t>
    </r>
    <r>
      <rPr>
        <sz val="9"/>
        <color rgb="FF000000"/>
        <rFont val="맑은 고딕"/>
        <family val="3"/>
        <charset val="129"/>
      </rPr>
      <t>경우</t>
    </r>
    <r>
      <rPr>
        <sz val="9"/>
        <color rgb="FF000000"/>
        <rFont val="Calibri"/>
        <family val="2"/>
      </rPr>
      <t xml:space="preserve"> </t>
    </r>
    <r>
      <rPr>
        <sz val="9"/>
        <color rgb="FF000000"/>
        <rFont val="맑은 고딕"/>
        <family val="3"/>
        <charset val="129"/>
      </rPr>
      <t>등</t>
    </r>
    <r>
      <rPr>
        <sz val="9"/>
        <color rgb="FF000000"/>
        <rFont val="Calibri"/>
        <family val="2"/>
      </rPr>
      <t xml:space="preserve">)\n - XLGantt </t>
    </r>
    <r>
      <rPr>
        <sz val="9"/>
        <color rgb="FF000000"/>
        <rFont val="맑은 고딕"/>
        <family val="3"/>
        <charset val="129"/>
      </rPr>
      <t>파일이</t>
    </r>
    <r>
      <rPr>
        <sz val="9"/>
        <color rgb="FF000000"/>
        <rFont val="Calibri"/>
        <family val="2"/>
      </rPr>
      <t xml:space="preserve"> </t>
    </r>
    <r>
      <rPr>
        <sz val="9"/>
        <color rgb="FF000000"/>
        <rFont val="맑은 고딕"/>
        <family val="3"/>
        <charset val="129"/>
      </rPr>
      <t>아닌</t>
    </r>
    <r>
      <rPr>
        <sz val="9"/>
        <color rgb="FF000000"/>
        <rFont val="Calibri"/>
        <family val="2"/>
      </rPr>
      <t xml:space="preserve"> </t>
    </r>
    <r>
      <rPr>
        <sz val="9"/>
        <color rgb="FF000000"/>
        <rFont val="맑은 고딕"/>
        <family val="3"/>
        <charset val="129"/>
      </rPr>
      <t>일반</t>
    </r>
    <r>
      <rPr>
        <sz val="9"/>
        <color rgb="FF000000"/>
        <rFont val="Calibri"/>
        <family val="2"/>
      </rPr>
      <t xml:space="preserve"> </t>
    </r>
    <r>
      <rPr>
        <sz val="9"/>
        <color rgb="FF000000"/>
        <rFont val="맑은 고딕"/>
        <family val="3"/>
        <charset val="129"/>
      </rPr>
      <t>엑셀파일인</t>
    </r>
    <r>
      <rPr>
        <sz val="9"/>
        <color rgb="FF000000"/>
        <rFont val="Calibri"/>
        <family val="2"/>
      </rPr>
      <t xml:space="preserve"> </t>
    </r>
    <r>
      <rPr>
        <sz val="9"/>
        <color rgb="FF000000"/>
        <rFont val="맑은 고딕"/>
        <family val="3"/>
        <charset val="129"/>
      </rPr>
      <t>경우</t>
    </r>
    <r>
      <rPr>
        <sz val="9"/>
        <color rgb="FF000000"/>
        <rFont val="Calibri"/>
        <family val="2"/>
      </rPr>
      <t xml:space="preserve">\n\n </t>
    </r>
    <r>
      <rPr>
        <sz val="9"/>
        <color rgb="FF000000"/>
        <rFont val="맑은 고딕"/>
        <family val="3"/>
        <charset val="129"/>
      </rPr>
      <t>자세한</t>
    </r>
    <r>
      <rPr>
        <sz val="9"/>
        <color rgb="FF000000"/>
        <rFont val="Calibri"/>
        <family val="2"/>
      </rPr>
      <t xml:space="preserve"> </t>
    </r>
    <r>
      <rPr>
        <sz val="9"/>
        <color rgb="FF000000"/>
        <rFont val="맑은 고딕"/>
        <family val="3"/>
        <charset val="129"/>
      </rPr>
      <t>원인은</t>
    </r>
    <r>
      <rPr>
        <sz val="9"/>
        <color rgb="FF000000"/>
        <rFont val="Calibri"/>
        <family val="2"/>
      </rPr>
      <t xml:space="preserve"> </t>
    </r>
    <r>
      <rPr>
        <sz val="9"/>
        <color rgb="FF000000"/>
        <rFont val="맑은 고딕"/>
        <family val="3"/>
        <charset val="129"/>
      </rPr>
      <t>아래의</t>
    </r>
    <r>
      <rPr>
        <sz val="9"/>
        <color rgb="FF000000"/>
        <rFont val="Calibri"/>
        <family val="2"/>
      </rPr>
      <t xml:space="preserve"> </t>
    </r>
    <r>
      <rPr>
        <sz val="9"/>
        <color rgb="FF000000"/>
        <rFont val="맑은 고딕"/>
        <family val="3"/>
        <charset val="129"/>
      </rPr>
      <t>메시지를</t>
    </r>
    <r>
      <rPr>
        <sz val="9"/>
        <color rgb="FF000000"/>
        <rFont val="Calibri"/>
        <family val="2"/>
      </rPr>
      <t xml:space="preserve"> </t>
    </r>
    <r>
      <rPr>
        <sz val="9"/>
        <color rgb="FF000000"/>
        <rFont val="맑은 고딕"/>
        <family val="3"/>
        <charset val="129"/>
      </rPr>
      <t>확인하시기</t>
    </r>
    <r>
      <rPr>
        <sz val="9"/>
        <color rgb="FF000000"/>
        <rFont val="Calibri"/>
        <family val="2"/>
      </rPr>
      <t xml:space="preserve"> </t>
    </r>
    <r>
      <rPr>
        <sz val="9"/>
        <color rgb="FF000000"/>
        <rFont val="맑은 고딕"/>
        <family val="3"/>
        <charset val="129"/>
      </rPr>
      <t>바랍니다</t>
    </r>
    <r>
      <rPr>
        <sz val="9"/>
        <color rgb="FF000000"/>
        <rFont val="Calibri"/>
        <family val="2"/>
      </rPr>
      <t>.</t>
    </r>
  </si>
  <si>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기간이</t>
    </r>
    <r>
      <rPr>
        <sz val="9"/>
        <color rgb="FF000000"/>
        <rFont val="Calibri"/>
        <family val="2"/>
      </rPr>
      <t xml:space="preserve"> </t>
    </r>
    <r>
      <rPr>
        <sz val="9"/>
        <color rgb="FF000000"/>
        <rFont val="맑은 고딕"/>
        <family val="3"/>
        <charset val="129"/>
      </rPr>
      <t>너무</t>
    </r>
    <r>
      <rPr>
        <sz val="9"/>
        <color rgb="FF000000"/>
        <rFont val="Calibri"/>
        <family val="2"/>
      </rPr>
      <t xml:space="preserve"> </t>
    </r>
    <r>
      <rPr>
        <sz val="9"/>
        <color rgb="FF000000"/>
        <rFont val="맑은 고딕"/>
        <family val="3"/>
        <charset val="129"/>
      </rPr>
      <t>깁니다</t>
    </r>
    <r>
      <rPr>
        <sz val="9"/>
        <color rgb="FF000000"/>
        <rFont val="Calibri"/>
        <family val="2"/>
      </rPr>
      <t xml:space="preserve">. </t>
    </r>
    <r>
      <rPr>
        <sz val="9"/>
        <color rgb="FF000000"/>
        <rFont val="맑은 고딕"/>
        <family val="3"/>
        <charset val="129"/>
      </rPr>
      <t>가장</t>
    </r>
    <r>
      <rPr>
        <sz val="9"/>
        <color rgb="FF000000"/>
        <rFont val="Calibri"/>
        <family val="2"/>
      </rPr>
      <t xml:space="preserve"> </t>
    </r>
    <r>
      <rPr>
        <sz val="9"/>
        <color rgb="FF000000"/>
        <rFont val="맑은 고딕"/>
        <family val="3"/>
        <charset val="129"/>
      </rPr>
      <t>빠른</t>
    </r>
    <r>
      <rPr>
        <sz val="9"/>
        <color rgb="FF000000"/>
        <rFont val="Calibri"/>
        <family val="2"/>
      </rPr>
      <t xml:space="preserve"> </t>
    </r>
    <r>
      <rPr>
        <sz val="9"/>
        <color rgb="FF000000"/>
        <rFont val="맑은 고딕"/>
        <family val="3"/>
        <charset val="129"/>
      </rPr>
      <t>시작일자는</t>
    </r>
    <r>
      <rPr>
        <sz val="9"/>
        <color rgb="FF000000"/>
        <rFont val="Calibri"/>
        <family val="2"/>
      </rPr>
      <t xml:space="preserve"> {1}</t>
    </r>
    <r>
      <rPr>
        <sz val="9"/>
        <color rgb="FF000000"/>
        <rFont val="맑은 고딕"/>
        <family val="3"/>
        <charset val="129"/>
      </rPr>
      <t>이고</t>
    </r>
    <r>
      <rPr>
        <sz val="9"/>
        <color rgb="FF000000"/>
        <rFont val="Calibri"/>
        <family val="2"/>
      </rPr>
      <t xml:space="preserve"> </t>
    </r>
    <r>
      <rPr>
        <sz val="9"/>
        <color rgb="FF000000"/>
        <rFont val="맑은 고딕"/>
        <family val="3"/>
        <charset val="129"/>
      </rPr>
      <t>가장</t>
    </r>
    <r>
      <rPr>
        <sz val="9"/>
        <color rgb="FF000000"/>
        <rFont val="Calibri"/>
        <family val="2"/>
      </rPr>
      <t xml:space="preserve"> </t>
    </r>
    <r>
      <rPr>
        <sz val="9"/>
        <color rgb="FF000000"/>
        <rFont val="맑은 고딕"/>
        <family val="3"/>
        <charset val="129"/>
      </rPr>
      <t>늦은</t>
    </r>
    <r>
      <rPr>
        <sz val="9"/>
        <color rgb="FF000000"/>
        <rFont val="Calibri"/>
        <family val="2"/>
      </rPr>
      <t xml:space="preserve"> </t>
    </r>
    <r>
      <rPr>
        <sz val="9"/>
        <color rgb="FF000000"/>
        <rFont val="맑은 고딕"/>
        <family val="3"/>
        <charset val="129"/>
      </rPr>
      <t>완료일자는</t>
    </r>
    <r>
      <rPr>
        <sz val="9"/>
        <color rgb="FF000000"/>
        <rFont val="Calibri"/>
        <family val="2"/>
      </rPr>
      <t xml:space="preserve"> {2}</t>
    </r>
    <r>
      <rPr>
        <sz val="9"/>
        <color rgb="FF000000"/>
        <rFont val="맑은 고딕"/>
        <family val="3"/>
        <charset val="129"/>
      </rPr>
      <t>이므로</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기간은</t>
    </r>
    <r>
      <rPr>
        <sz val="9"/>
        <color rgb="FF000000"/>
        <rFont val="Calibri"/>
        <family val="2"/>
      </rPr>
      <t xml:space="preserve"> {3}</t>
    </r>
    <r>
      <rPr>
        <sz val="9"/>
        <color rgb="FF000000"/>
        <rFont val="맑은 고딕"/>
        <family val="3"/>
        <charset val="129"/>
      </rPr>
      <t>일입니다</t>
    </r>
    <r>
      <rPr>
        <sz val="9"/>
        <color rgb="FF000000"/>
        <rFont val="Calibri"/>
        <family val="2"/>
      </rPr>
      <t>. XLGantt</t>
    </r>
    <r>
      <rPr>
        <sz val="9"/>
        <color rgb="FF000000"/>
        <rFont val="맑은 고딕"/>
        <family val="3"/>
        <charset val="129"/>
      </rPr>
      <t>에서</t>
    </r>
    <r>
      <rPr>
        <sz val="9"/>
        <color rgb="FF000000"/>
        <rFont val="Calibri"/>
        <family val="2"/>
      </rPr>
      <t xml:space="preserve"> </t>
    </r>
    <r>
      <rPr>
        <sz val="9"/>
        <color rgb="FF000000"/>
        <rFont val="맑은 고딕"/>
        <family val="3"/>
        <charset val="129"/>
      </rPr>
      <t>허용되는</t>
    </r>
    <r>
      <rPr>
        <sz val="9"/>
        <color rgb="FF000000"/>
        <rFont val="Calibri"/>
        <family val="2"/>
      </rPr>
      <t xml:space="preserve"> </t>
    </r>
    <r>
      <rPr>
        <sz val="9"/>
        <color rgb="FF000000"/>
        <rFont val="맑은 고딕"/>
        <family val="3"/>
        <charset val="129"/>
      </rPr>
      <t>최대일수는</t>
    </r>
    <r>
      <rPr>
        <sz val="9"/>
        <color rgb="FF000000"/>
        <rFont val="Calibri"/>
        <family val="2"/>
      </rPr>
      <t xml:space="preserve"> {4}</t>
    </r>
    <r>
      <rPr>
        <sz val="9"/>
        <color rgb="FF000000"/>
        <rFont val="맑은 고딕"/>
        <family val="3"/>
        <charset val="129"/>
      </rPr>
      <t>일입니다</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기간을</t>
    </r>
    <r>
      <rPr>
        <sz val="9"/>
        <color rgb="FF000000"/>
        <rFont val="Calibri"/>
        <family val="2"/>
      </rPr>
      <t xml:space="preserve"> XLGantt</t>
    </r>
    <r>
      <rPr>
        <sz val="9"/>
        <color rgb="FF000000"/>
        <rFont val="맑은 고딕"/>
        <family val="3"/>
        <charset val="129"/>
      </rPr>
      <t>에서</t>
    </r>
    <r>
      <rPr>
        <sz val="9"/>
        <color rgb="FF000000"/>
        <rFont val="Calibri"/>
        <family val="2"/>
      </rPr>
      <t xml:space="preserve"> </t>
    </r>
    <r>
      <rPr>
        <sz val="9"/>
        <color rgb="FF000000"/>
        <rFont val="맑은 고딕"/>
        <family val="3"/>
        <charset val="129"/>
      </rPr>
      <t>허용하는</t>
    </r>
    <r>
      <rPr>
        <sz val="9"/>
        <color rgb="FF000000"/>
        <rFont val="Calibri"/>
        <family val="2"/>
      </rPr>
      <t xml:space="preserve"> </t>
    </r>
    <r>
      <rPr>
        <sz val="9"/>
        <color rgb="FF000000"/>
        <rFont val="맑은 고딕"/>
        <family val="3"/>
        <charset val="129"/>
      </rPr>
      <t>범위내로</t>
    </r>
    <r>
      <rPr>
        <sz val="9"/>
        <color rgb="FF000000"/>
        <rFont val="Calibri"/>
        <family val="2"/>
      </rPr>
      <t xml:space="preserve"> </t>
    </r>
    <r>
      <rPr>
        <sz val="9"/>
        <color rgb="FF000000"/>
        <rFont val="맑은 고딕"/>
        <family val="3"/>
        <charset val="129"/>
      </rPr>
      <t>줄이십시오</t>
    </r>
    <r>
      <rPr>
        <sz val="9"/>
        <color rgb="FF000000"/>
        <rFont val="Calibri"/>
        <family val="2"/>
      </rPr>
      <t>.</t>
    </r>
  </si>
  <si>
    <r>
      <t>{} Sheet</t>
    </r>
    <r>
      <rPr>
        <sz val="9"/>
        <color rgb="FF000000"/>
        <rFont val="맑은 고딕"/>
        <family val="3"/>
        <charset val="129"/>
      </rPr>
      <t>에서만</t>
    </r>
    <r>
      <rPr>
        <sz val="9"/>
        <color rgb="FF000000"/>
        <rFont val="Calibri"/>
        <family val="2"/>
      </rPr>
      <t xml:space="preserve"> Outlook</t>
    </r>
    <r>
      <rPr>
        <sz val="9"/>
        <color rgb="FF000000"/>
        <rFont val="맑은 고딕"/>
        <family val="3"/>
        <charset val="129"/>
      </rPr>
      <t>일정을</t>
    </r>
    <r>
      <rPr>
        <sz val="9"/>
        <color rgb="FF000000"/>
        <rFont val="Calibri"/>
        <family val="2"/>
      </rPr>
      <t xml:space="preserve"> </t>
    </r>
    <r>
      <rPr>
        <sz val="9"/>
        <color rgb="FF000000"/>
        <rFont val="맑은 고딕"/>
        <family val="3"/>
        <charset val="129"/>
      </rPr>
      <t>등록할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t>
    </r>
  </si>
  <si>
    <r>
      <t xml:space="preserve">WBS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</si>
  <si>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시작일이</t>
    </r>
    <r>
      <rPr>
        <sz val="9"/>
        <color rgb="FF000000"/>
        <rFont val="Calibri"/>
        <family val="2"/>
      </rPr>
      <t xml:space="preserve"> </t>
    </r>
    <r>
      <rPr>
        <sz val="9"/>
        <color rgb="FF000000"/>
        <rFont val="맑은 고딕"/>
        <family val="3"/>
        <charset val="129"/>
      </rPr>
      <t>완료일보다</t>
    </r>
    <r>
      <rPr>
        <sz val="9"/>
        <color rgb="FF000000"/>
        <rFont val="Calibri"/>
        <family val="2"/>
      </rPr>
      <t xml:space="preserve"> </t>
    </r>
    <r>
      <rPr>
        <sz val="9"/>
        <color rgb="FF000000"/>
        <rFont val="맑은 고딕"/>
        <family val="3"/>
        <charset val="129"/>
      </rPr>
      <t>큽니다</t>
    </r>
    <r>
      <rPr>
        <sz val="9"/>
        <color rgb="FF000000"/>
        <rFont val="Calibri"/>
        <family val="2"/>
      </rPr>
      <t>.</t>
    </r>
  </si>
  <si>
    <r>
      <t>{} Sheet</t>
    </r>
    <r>
      <rPr>
        <sz val="9"/>
        <color rgb="FF000000"/>
        <rFont val="맑은 고딕"/>
        <family val="3"/>
        <charset val="129"/>
      </rPr>
      <t>에서만</t>
    </r>
    <r>
      <rPr>
        <sz val="9"/>
        <color rgb="FF000000"/>
        <rFont val="Calibri"/>
        <family val="2"/>
      </rPr>
      <t xml:space="preserve"> Outlook</t>
    </r>
    <r>
      <rPr>
        <sz val="9"/>
        <color rgb="FF000000"/>
        <rFont val="맑은 고딕"/>
        <family val="3"/>
        <charset val="129"/>
      </rPr>
      <t>작업을</t>
    </r>
    <r>
      <rPr>
        <sz val="9"/>
        <color rgb="FF000000"/>
        <rFont val="Calibri"/>
        <family val="2"/>
      </rPr>
      <t xml:space="preserve"> </t>
    </r>
    <r>
      <rPr>
        <sz val="9"/>
        <color rgb="FF000000"/>
        <rFont val="맑은 고딕"/>
        <family val="3"/>
        <charset val="129"/>
      </rPr>
      <t>등록할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</si>
  <si>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실적진척율이</t>
    </r>
    <r>
      <rPr>
        <sz val="9"/>
        <color rgb="FF000000"/>
        <rFont val="Calibri"/>
        <family val="2"/>
      </rPr>
      <t xml:space="preserve"> </t>
    </r>
    <r>
      <rPr>
        <sz val="9"/>
        <color rgb="FF000000"/>
        <rFont val="맑은 고딕"/>
        <family val="3"/>
        <charset val="129"/>
      </rPr>
      <t>숫자가</t>
    </r>
    <r>
      <rPr>
        <sz val="9"/>
        <color rgb="FF000000"/>
        <rFont val="Calibri"/>
        <family val="2"/>
      </rPr>
      <t xml:space="preserve"> </t>
    </r>
    <r>
      <rPr>
        <sz val="9"/>
        <color rgb="FF000000"/>
        <rFont val="맑은 고딕"/>
        <family val="3"/>
        <charset val="129"/>
      </rPr>
      <t>아닙니다</t>
    </r>
    <r>
      <rPr>
        <sz val="9"/>
        <color rgb="FF000000"/>
        <rFont val="Calibri"/>
        <family val="2"/>
      </rPr>
      <t>.</t>
    </r>
  </si>
  <si>
    <r>
      <t>* "</t>
    </r>
    <r>
      <rPr>
        <sz val="9"/>
        <color rgb="FF000000"/>
        <rFont val="맑은 고딕"/>
        <family val="3"/>
        <charset val="129"/>
      </rPr>
      <t>스케줄업데이트</t>
    </r>
    <r>
      <rPr>
        <sz val="9"/>
        <color rgb="FF000000"/>
        <rFont val="Calibri"/>
        <family val="2"/>
      </rPr>
      <t xml:space="preserve">" </t>
    </r>
    <r>
      <rPr>
        <sz val="9"/>
        <color rgb="FF000000"/>
        <rFont val="맑은 고딕"/>
        <family val="3"/>
        <charset val="129"/>
      </rPr>
      <t>버튼</t>
    </r>
    <r>
      <rPr>
        <sz val="9"/>
        <color rgb="FF000000"/>
        <rFont val="Calibri"/>
        <family val="2"/>
      </rPr>
      <t xml:space="preserve"> </t>
    </r>
    <r>
      <rPr>
        <sz val="9"/>
        <color rgb="FF000000"/>
        <rFont val="맑은 고딕"/>
        <family val="3"/>
        <charset val="129"/>
      </rPr>
      <t>클릭</t>
    </r>
    <r>
      <rPr>
        <sz val="9"/>
        <color rgb="FF000000"/>
        <rFont val="Calibri"/>
        <family val="2"/>
      </rPr>
      <t xml:space="preserve"> </t>
    </r>
    <r>
      <rPr>
        <sz val="9"/>
        <color rgb="FF000000"/>
        <rFont val="맑은 고딕"/>
        <family val="3"/>
        <charset val="129"/>
      </rPr>
      <t>시</t>
    </r>
    <r>
      <rPr>
        <sz val="9"/>
        <color rgb="FF000000"/>
        <rFont val="Calibri"/>
        <family val="2"/>
      </rPr>
      <t xml:space="preserve"> </t>
    </r>
    <r>
      <rPr>
        <sz val="9"/>
        <color rgb="FF000000"/>
        <rFont val="맑은 고딕"/>
        <family val="3"/>
        <charset val="129"/>
      </rPr>
      <t>아래</t>
    </r>
    <r>
      <rPr>
        <sz val="9"/>
        <color rgb="FF000000"/>
        <rFont val="Calibri"/>
        <family val="2"/>
      </rPr>
      <t xml:space="preserve"> </t>
    </r>
    <r>
      <rPr>
        <sz val="9"/>
        <color rgb="FF000000"/>
        <rFont val="맑은 고딕"/>
        <family val="3"/>
        <charset val="129"/>
      </rPr>
      <t>항목이</t>
    </r>
    <r>
      <rPr>
        <sz val="9"/>
        <color rgb="FF000000"/>
        <rFont val="Calibri"/>
        <family val="2"/>
      </rPr>
      <t xml:space="preserve"> </t>
    </r>
    <r>
      <rPr>
        <sz val="9"/>
        <color rgb="FF000000"/>
        <rFont val="맑은 고딕"/>
        <family val="3"/>
        <charset val="129"/>
      </rPr>
      <t>자동계산됩니다</t>
    </r>
    <r>
      <rPr>
        <sz val="9"/>
        <color rgb="FF000000"/>
        <rFont val="Calibri"/>
        <family val="2"/>
      </rPr>
      <t>.</t>
    </r>
  </si>
  <si>
    <t>Error! Cause may be one of the following.\n * File is invalid(e.g. the XLGantt file corrupted)\n * Not XLGantt file but General Excel file\n\n Please check the messages below for details.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</si>
  <si>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</si>
  <si>
    <r>
      <rPr>
        <sz val="9"/>
        <color rgb="FF000000"/>
        <rFont val="맑은 고딕"/>
        <family val="3"/>
        <charset val="129"/>
      </rPr>
      <t>자원</t>
    </r>
    <r>
      <rPr>
        <sz val="9"/>
        <color rgb="FF000000"/>
        <rFont val="Calibri"/>
        <family val="2"/>
      </rPr>
      <t xml:space="preserve"> </t>
    </r>
    <r>
      <rPr>
        <sz val="9"/>
        <color rgb="FF000000"/>
        <rFont val="맑은 고딕"/>
        <family val="3"/>
        <charset val="129"/>
      </rPr>
      <t>필드입니다</t>
    </r>
    <r>
      <rPr>
        <sz val="9"/>
        <color rgb="FF000000"/>
        <rFont val="Calibri"/>
        <family val="2"/>
      </rPr>
      <t xml:space="preserve">. </t>
    </r>
    <r>
      <rPr>
        <sz val="9"/>
        <color rgb="FF000000"/>
        <rFont val="맑은 고딕"/>
        <family val="3"/>
        <charset val="129"/>
      </rPr>
      <t>담당자</t>
    </r>
    <r>
      <rPr>
        <sz val="9"/>
        <color rgb="FF000000"/>
        <rFont val="Calibri"/>
        <family val="2"/>
      </rPr>
      <t xml:space="preserve">, </t>
    </r>
    <r>
      <rPr>
        <sz val="9"/>
        <color rgb="FF000000"/>
        <rFont val="맑은 고딕"/>
        <family val="3"/>
        <charset val="129"/>
      </rPr>
      <t>리소스</t>
    </r>
    <r>
      <rPr>
        <sz val="9"/>
        <color rgb="FF000000"/>
        <rFont val="Calibri"/>
        <family val="2"/>
      </rPr>
      <t xml:space="preserve"> </t>
    </r>
    <r>
      <rPr>
        <sz val="9"/>
        <color rgb="FF000000"/>
        <rFont val="맑은 고딕"/>
        <family val="3"/>
        <charset val="129"/>
      </rPr>
      <t>등의</t>
    </r>
    <r>
      <rPr>
        <sz val="9"/>
        <color rgb="FF000000"/>
        <rFont val="Calibri"/>
        <family val="2"/>
      </rPr>
      <t xml:space="preserve"> </t>
    </r>
    <r>
      <rPr>
        <sz val="9"/>
        <color rgb="FF000000"/>
        <rFont val="맑은 고딕"/>
        <family val="3"/>
        <charset val="129"/>
      </rPr>
      <t>이름으로</t>
    </r>
    <r>
      <rPr>
        <sz val="9"/>
        <color rgb="FF000000"/>
        <rFont val="Calibri"/>
        <family val="2"/>
      </rPr>
      <t xml:space="preserve"> </t>
    </r>
    <r>
      <rPr>
        <sz val="9"/>
        <color rgb="FF000000"/>
        <rFont val="맑은 고딕"/>
        <family val="3"/>
        <charset val="129"/>
      </rPr>
      <t>불리기도</t>
    </r>
    <r>
      <rPr>
        <sz val="9"/>
        <color rgb="FF000000"/>
        <rFont val="Calibri"/>
        <family val="2"/>
      </rPr>
      <t xml:space="preserve"> </t>
    </r>
    <r>
      <rPr>
        <sz val="9"/>
        <color rgb="FF000000"/>
        <rFont val="맑은 고딕"/>
        <family val="3"/>
        <charset val="129"/>
      </rPr>
      <t>합니다</t>
    </r>
    <r>
      <rPr>
        <sz val="9"/>
        <color rgb="FF000000"/>
        <rFont val="Calibri"/>
        <family val="2"/>
      </rPr>
      <t xml:space="preserve">. </t>
    </r>
    <r>
      <rPr>
        <sz val="9"/>
        <color rgb="FF000000"/>
        <rFont val="맑은 고딕"/>
        <family val="3"/>
        <charset val="129"/>
      </rPr>
      <t>해당</t>
    </r>
    <r>
      <rPr>
        <sz val="9"/>
        <color rgb="FF000000"/>
        <rFont val="Calibri"/>
        <family val="2"/>
      </rPr>
      <t xml:space="preserve"> </t>
    </r>
    <r>
      <rPr>
        <sz val="9"/>
        <color rgb="FF000000"/>
        <rFont val="맑은 고딕"/>
        <family val="3"/>
        <charset val="129"/>
      </rPr>
      <t>작업의</t>
    </r>
    <r>
      <rPr>
        <sz val="9"/>
        <color rgb="FF000000"/>
        <rFont val="Calibri"/>
        <family val="2"/>
      </rPr>
      <t xml:space="preserve"> </t>
    </r>
    <r>
      <rPr>
        <sz val="9"/>
        <color rgb="FF000000"/>
        <rFont val="맑은 고딕"/>
        <family val="3"/>
        <charset val="129"/>
      </rPr>
      <t>담당자를</t>
    </r>
    <r>
      <rPr>
        <sz val="9"/>
        <color rgb="FF000000"/>
        <rFont val="Calibri"/>
        <family val="2"/>
      </rPr>
      <t xml:space="preserve"> </t>
    </r>
    <r>
      <rPr>
        <sz val="9"/>
        <color rgb="FF000000"/>
        <rFont val="맑은 고딕"/>
        <family val="3"/>
        <charset val="129"/>
      </rPr>
      <t>표시합니다</t>
    </r>
  </si>
  <si>
    <r>
      <rPr>
        <sz val="9"/>
        <color rgb="FF000000"/>
        <rFont val="맑은 고딕"/>
        <family val="3"/>
        <charset val="129"/>
      </rPr>
      <t>실제시작일자에</t>
    </r>
    <r>
      <rPr>
        <sz val="9"/>
        <color rgb="FF000000"/>
        <rFont val="Calibri"/>
        <family val="2"/>
      </rPr>
      <t xml:space="preserve"> </t>
    </r>
    <r>
      <rPr>
        <sz val="9"/>
        <color rgb="FF000000"/>
        <rFont val="맑은 고딕"/>
        <family val="3"/>
        <charset val="129"/>
      </rPr>
      <t>날짜가</t>
    </r>
    <r>
      <rPr>
        <sz val="9"/>
        <color rgb="FF000000"/>
        <rFont val="Calibri"/>
        <family val="2"/>
      </rPr>
      <t xml:space="preserve"> </t>
    </r>
    <r>
      <rPr>
        <sz val="9"/>
        <color rgb="FF000000"/>
        <rFont val="맑은 고딕"/>
        <family val="3"/>
        <charset val="129"/>
      </rPr>
      <t>아닌</t>
    </r>
    <r>
      <rPr>
        <sz val="9"/>
        <color rgb="FF000000"/>
        <rFont val="Calibri"/>
        <family val="2"/>
      </rPr>
      <t xml:space="preserve"> </t>
    </r>
    <r>
      <rPr>
        <sz val="9"/>
        <color rgb="FF000000"/>
        <rFont val="맑은 고딕"/>
        <family val="3"/>
        <charset val="129"/>
      </rPr>
      <t>값이</t>
    </r>
    <r>
      <rPr>
        <sz val="9"/>
        <color rgb="FF000000"/>
        <rFont val="Calibri"/>
        <family val="2"/>
      </rPr>
      <t xml:space="preserve"> </t>
    </r>
    <r>
      <rPr>
        <sz val="9"/>
        <color rgb="FF000000"/>
        <rFont val="맑은 고딕"/>
        <family val="3"/>
        <charset val="129"/>
      </rPr>
      <t>포함되어</t>
    </r>
    <r>
      <rPr>
        <sz val="9"/>
        <color rgb="FF000000"/>
        <rFont val="Calibri"/>
        <family val="2"/>
      </rPr>
      <t xml:space="preserve"> </t>
    </r>
    <r>
      <rPr>
        <sz val="9"/>
        <color rgb="FF000000"/>
        <rFont val="맑은 고딕"/>
        <family val="3"/>
        <charset val="129"/>
      </rPr>
      <t>있습니다</t>
    </r>
    <r>
      <rPr>
        <sz val="9"/>
        <color rgb="FF000000"/>
        <rFont val="Calibri"/>
        <family val="2"/>
      </rPr>
      <t>. Import</t>
    </r>
    <r>
      <rPr>
        <sz val="9"/>
        <color rgb="FF000000"/>
        <rFont val="맑은 고딕"/>
        <family val="3"/>
        <charset val="129"/>
      </rPr>
      <t>하는</t>
    </r>
    <r>
      <rPr>
        <sz val="9"/>
        <color rgb="FF000000"/>
        <rFont val="Calibri"/>
        <family val="2"/>
      </rPr>
      <t xml:space="preserve"> </t>
    </r>
    <r>
      <rPr>
        <sz val="9"/>
        <color rgb="FF000000"/>
        <rFont val="맑은 고딕"/>
        <family val="3"/>
        <charset val="129"/>
      </rPr>
      <t>파일의</t>
    </r>
    <r>
      <rPr>
        <sz val="9"/>
        <color rgb="FF000000"/>
        <rFont val="Calibri"/>
        <family val="2"/>
      </rPr>
      <t xml:space="preserve"> {}</t>
    </r>
    <r>
      <rPr>
        <sz val="9"/>
        <color rgb="FF000000"/>
        <rFont val="맑은 고딕"/>
        <family val="3"/>
        <charset val="129"/>
      </rPr>
      <t>행을</t>
    </r>
    <r>
      <rPr>
        <sz val="9"/>
        <color rgb="FF000000"/>
        <rFont val="Calibri"/>
        <family val="2"/>
      </rPr>
      <t xml:space="preserve"> </t>
    </r>
    <r>
      <rPr>
        <sz val="9"/>
        <color rgb="FF000000"/>
        <rFont val="맑은 고딕"/>
        <family val="3"/>
        <charset val="129"/>
      </rPr>
      <t>확인하세요</t>
    </r>
    <r>
      <rPr>
        <sz val="9"/>
        <color rgb="FF000000"/>
        <rFont val="Calibri"/>
        <family val="2"/>
      </rPr>
      <t>.</t>
    </r>
  </si>
  <si>
    <t>You can indent or outdent tasks only on the {} sheet.</t>
  </si>
  <si>
    <t>The process was terminated due to the {} sheet error.</t>
  </si>
  <si>
    <r>
      <t>A</t>
    </r>
    <r>
      <rPr>
        <sz val="9"/>
        <color rgb="FF000000"/>
        <rFont val="맑은 고딕"/>
        <family val="3"/>
        <charset val="129"/>
      </rPr>
      <t>열부터</t>
    </r>
    <r>
      <rPr>
        <sz val="9"/>
        <color rgb="FF000000"/>
        <rFont val="Calibri"/>
        <family val="2"/>
      </rPr>
      <t xml:space="preserve"> C</t>
    </r>
    <r>
      <rPr>
        <sz val="9"/>
        <color rgb="FF000000"/>
        <rFont val="맑은 고딕"/>
        <family val="3"/>
        <charset val="129"/>
      </rPr>
      <t>열까지는</t>
    </r>
    <r>
      <rPr>
        <sz val="9"/>
        <color rgb="FF000000"/>
        <rFont val="Calibri"/>
        <family val="2"/>
      </rPr>
      <t xml:space="preserve"> XLGantt</t>
    </r>
    <r>
      <rPr>
        <sz val="9"/>
        <color rgb="FF000000"/>
        <rFont val="맑은 고딕"/>
        <family val="3"/>
        <charset val="129"/>
      </rPr>
      <t>프로그램에서</t>
    </r>
    <r>
      <rPr>
        <sz val="9"/>
        <color rgb="FF000000"/>
        <rFont val="Calibri"/>
        <family val="2"/>
      </rPr>
      <t xml:space="preserve"> </t>
    </r>
    <r>
      <rPr>
        <sz val="9"/>
        <color rgb="FF000000"/>
        <rFont val="맑은 고딕"/>
        <family val="3"/>
        <charset val="129"/>
      </rPr>
      <t>사용하는</t>
    </r>
    <r>
      <rPr>
        <sz val="9"/>
        <color rgb="FF000000"/>
        <rFont val="Calibri"/>
        <family val="2"/>
      </rPr>
      <t xml:space="preserve"> </t>
    </r>
    <r>
      <rPr>
        <sz val="9"/>
        <color rgb="FF000000"/>
        <rFont val="맑은 고딕"/>
        <family val="3"/>
        <charset val="129"/>
      </rPr>
      <t>영역이므로</t>
    </r>
    <r>
      <rPr>
        <sz val="9"/>
        <color rgb="FF000000"/>
        <rFont val="Calibri"/>
        <family val="2"/>
      </rPr>
      <t xml:space="preserve"> </t>
    </r>
    <r>
      <rPr>
        <sz val="9"/>
        <color rgb="FF000000"/>
        <rFont val="맑은 고딕"/>
        <family val="3"/>
        <charset val="129"/>
      </rPr>
      <t>임의로</t>
    </r>
    <r>
      <rPr>
        <sz val="9"/>
        <color rgb="FF000000"/>
        <rFont val="Calibri"/>
        <family val="2"/>
      </rPr>
      <t xml:space="preserve"> </t>
    </r>
    <r>
      <rPr>
        <sz val="9"/>
        <color rgb="FF000000"/>
        <rFont val="맑은 고딕"/>
        <family val="3"/>
        <charset val="129"/>
      </rPr>
      <t>열을</t>
    </r>
    <r>
      <rPr>
        <sz val="9"/>
        <color rgb="FF000000"/>
        <rFont val="Calibri"/>
        <family val="2"/>
      </rPr>
      <t xml:space="preserve"> </t>
    </r>
    <r>
      <rPr>
        <sz val="9"/>
        <color rgb="FF000000"/>
        <rFont val="맑은 고딕"/>
        <family val="3"/>
        <charset val="129"/>
      </rPr>
      <t>추가할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</si>
  <si>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t>* "Workload(</t>
    </r>
    <r>
      <rPr>
        <sz val="9"/>
        <color rgb="FF000000"/>
        <rFont val="맑은 고딕"/>
        <family val="3"/>
        <charset val="129"/>
      </rPr>
      <t>주별</t>
    </r>
    <r>
      <rPr>
        <sz val="9"/>
        <color rgb="FF000000"/>
        <rFont val="Calibri"/>
        <family val="2"/>
      </rPr>
      <t xml:space="preserve">)" </t>
    </r>
    <r>
      <rPr>
        <sz val="9"/>
        <color rgb="FF000000"/>
        <rFont val="맑은 고딕"/>
        <family val="3"/>
        <charset val="129"/>
      </rPr>
      <t>또는</t>
    </r>
    <r>
      <rPr>
        <sz val="9"/>
        <color rgb="FF000000"/>
        <rFont val="Calibri"/>
        <family val="2"/>
      </rPr>
      <t xml:space="preserve"> "Workload(</t>
    </r>
    <r>
      <rPr>
        <sz val="9"/>
        <color rgb="FF000000"/>
        <rFont val="맑은 고딕"/>
        <family val="3"/>
        <charset val="129"/>
      </rPr>
      <t>월별</t>
    </r>
    <r>
      <rPr>
        <sz val="9"/>
        <color rgb="FF000000"/>
        <rFont val="Calibri"/>
        <family val="2"/>
      </rPr>
      <t xml:space="preserve">)" </t>
    </r>
    <r>
      <rPr>
        <sz val="9"/>
        <color rgb="FF000000"/>
        <rFont val="맑은 고딕"/>
        <family val="3"/>
        <charset val="129"/>
      </rPr>
      <t>메뉴를</t>
    </r>
    <r>
      <rPr>
        <sz val="9"/>
        <color rgb="FF000000"/>
        <rFont val="Calibri"/>
        <family val="2"/>
      </rPr>
      <t xml:space="preserve"> </t>
    </r>
    <r>
      <rPr>
        <sz val="9"/>
        <color rgb="FF000000"/>
        <rFont val="맑은 고딕"/>
        <family val="3"/>
        <charset val="129"/>
      </rPr>
      <t>클릭해야</t>
    </r>
    <r>
      <rPr>
        <sz val="9"/>
        <color rgb="FF000000"/>
        <rFont val="Calibri"/>
        <family val="2"/>
      </rPr>
      <t xml:space="preserve"> </t>
    </r>
    <r>
      <rPr>
        <sz val="9"/>
        <color rgb="FF000000"/>
        <rFont val="맑은 고딕"/>
        <family val="3"/>
        <charset val="129"/>
      </rPr>
      <t>내용이</t>
    </r>
    <r>
      <rPr>
        <sz val="9"/>
        <color rgb="FF000000"/>
        <rFont val="Calibri"/>
        <family val="2"/>
      </rPr>
      <t xml:space="preserve"> </t>
    </r>
    <r>
      <rPr>
        <sz val="9"/>
        <color rgb="FF000000"/>
        <rFont val="맑은 고딕"/>
        <family val="3"/>
        <charset val="129"/>
      </rPr>
      <t>갱신됩니다</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</si>
  <si>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실제완료일이</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아닙니다</t>
    </r>
    <r>
      <rPr>
        <sz val="9"/>
        <color rgb="FF000000"/>
        <rFont val="Calibri"/>
        <family val="2"/>
      </rPr>
      <t xml:space="preserve">. </t>
    </r>
    <r>
      <rPr>
        <sz val="9"/>
        <color rgb="FF000000"/>
        <rFont val="맑은 고딕"/>
        <family val="3"/>
        <charset val="129"/>
      </rPr>
      <t>정확한</t>
    </r>
    <r>
      <rPr>
        <sz val="9"/>
        <color rgb="FF000000"/>
        <rFont val="Calibri"/>
        <family val="2"/>
      </rPr>
      <t xml:space="preserve"> </t>
    </r>
    <r>
      <rPr>
        <sz val="9"/>
        <color rgb="FF000000"/>
        <rFont val="맑은 고딕"/>
        <family val="3"/>
        <charset val="129"/>
      </rPr>
      <t>날짜형식으로</t>
    </r>
    <r>
      <rPr>
        <sz val="9"/>
        <color rgb="FF000000"/>
        <rFont val="Calibri"/>
        <family val="2"/>
      </rPr>
      <t xml:space="preserve"> </t>
    </r>
    <r>
      <rPr>
        <sz val="9"/>
        <color rgb="FF000000"/>
        <rFont val="맑은 고딕"/>
        <family val="3"/>
        <charset val="129"/>
      </rPr>
      <t>입력하세요</t>
    </r>
    <r>
      <rPr>
        <sz val="9"/>
        <color rgb="FF000000"/>
        <rFont val="Calibri"/>
        <family val="2"/>
      </rPr>
      <t>.</t>
    </r>
  </si>
  <si>
    <r>
      <t>Microsoft Outlook</t>
    </r>
    <r>
      <rPr>
        <sz val="9"/>
        <color rgb="FF000000"/>
        <rFont val="맑은 고딕"/>
        <family val="3"/>
        <charset val="129"/>
      </rPr>
      <t>을</t>
    </r>
    <r>
      <rPr>
        <sz val="9"/>
        <color rgb="FF000000"/>
        <rFont val="Calibri"/>
        <family val="2"/>
      </rPr>
      <t xml:space="preserve"> </t>
    </r>
    <r>
      <rPr>
        <sz val="9"/>
        <color rgb="FF000000"/>
        <rFont val="맑은 고딕"/>
        <family val="3"/>
        <charset val="129"/>
      </rPr>
      <t>사용할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.\n</t>
    </r>
    <r>
      <rPr>
        <sz val="9"/>
        <color rgb="FF000000"/>
        <rFont val="맑은 고딕"/>
        <family val="3"/>
        <charset val="129"/>
      </rPr>
      <t>정상적으로</t>
    </r>
    <r>
      <rPr>
        <sz val="9"/>
        <color rgb="FF000000"/>
        <rFont val="Calibri"/>
        <family val="2"/>
      </rPr>
      <t xml:space="preserve"> </t>
    </r>
    <r>
      <rPr>
        <sz val="9"/>
        <color rgb="FF000000"/>
        <rFont val="맑은 고딕"/>
        <family val="3"/>
        <charset val="129"/>
      </rPr>
      <t>설치되어</t>
    </r>
    <r>
      <rPr>
        <sz val="9"/>
        <color rgb="FF000000"/>
        <rFont val="Calibri"/>
        <family val="2"/>
      </rPr>
      <t xml:space="preserve"> </t>
    </r>
    <r>
      <rPr>
        <sz val="9"/>
        <color rgb="FF000000"/>
        <rFont val="맑은 고딕"/>
        <family val="3"/>
        <charset val="129"/>
      </rPr>
      <t>있는지</t>
    </r>
    <r>
      <rPr>
        <sz val="9"/>
        <color rgb="FF000000"/>
        <rFont val="Calibri"/>
        <family val="2"/>
      </rPr>
      <t xml:space="preserve"> </t>
    </r>
    <r>
      <rPr>
        <sz val="9"/>
        <color rgb="FF000000"/>
        <rFont val="맑은 고딕"/>
        <family val="3"/>
        <charset val="129"/>
      </rPr>
      <t>확인하세요</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</si>
  <si>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실제시작일이</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아닙니다</t>
    </r>
    <r>
      <rPr>
        <sz val="9"/>
        <color rgb="FF000000"/>
        <rFont val="Calibri"/>
        <family val="2"/>
      </rPr>
      <t xml:space="preserve">. </t>
    </r>
    <r>
      <rPr>
        <sz val="9"/>
        <color rgb="FF000000"/>
        <rFont val="맑은 고딕"/>
        <family val="3"/>
        <charset val="129"/>
      </rPr>
      <t>정확한</t>
    </r>
    <r>
      <rPr>
        <sz val="9"/>
        <color rgb="FF000000"/>
        <rFont val="Calibri"/>
        <family val="2"/>
      </rPr>
      <t xml:space="preserve"> </t>
    </r>
    <r>
      <rPr>
        <sz val="9"/>
        <color rgb="FF000000"/>
        <rFont val="맑은 고딕"/>
        <family val="3"/>
        <charset val="129"/>
      </rPr>
      <t>날짜형식으로</t>
    </r>
    <r>
      <rPr>
        <sz val="9"/>
        <color rgb="FF000000"/>
        <rFont val="Calibri"/>
        <family val="2"/>
      </rPr>
      <t xml:space="preserve"> </t>
    </r>
    <r>
      <rPr>
        <sz val="9"/>
        <color rgb="FF000000"/>
        <rFont val="맑은 고딕"/>
        <family val="3"/>
        <charset val="129"/>
      </rPr>
      <t>입력하세요</t>
    </r>
    <r>
      <rPr>
        <sz val="9"/>
        <color rgb="FF000000"/>
        <rFont val="Calibri"/>
        <family val="2"/>
      </rPr>
      <t>.</t>
    </r>
  </si>
  <si>
    <t>The actual start or finish date of row number {1} in the {2} sheet is out of the project duration.</t>
  </si>
  <si>
    <t>The number of task columns is not 7. Please retry after changing the sheet to its previous state.</t>
  </si>
  <si>
    <t>After turning off filtering, we'll proceed.</t>
  </si>
  <si>
    <t>Please enter the program execution path.</t>
  </si>
  <si>
    <r>
      <rPr>
        <sz val="9"/>
        <color rgb="FF000000"/>
        <rFont val="맑은 고딕"/>
        <family val="3"/>
        <charset val="129"/>
      </rPr>
      <t>각</t>
    </r>
    <r>
      <rPr>
        <sz val="9"/>
        <color rgb="FF000000"/>
        <rFont val="Calibri"/>
        <family val="2"/>
      </rPr>
      <t xml:space="preserve"> </t>
    </r>
    <r>
      <rPr>
        <sz val="9"/>
        <color rgb="FF000000"/>
        <rFont val="맑은 고딕"/>
        <family val="3"/>
        <charset val="129"/>
      </rPr>
      <t>작업의</t>
    </r>
    <r>
      <rPr>
        <sz val="9"/>
        <color rgb="FF000000"/>
        <rFont val="Calibri"/>
        <family val="2"/>
      </rPr>
      <t xml:space="preserve"> </t>
    </r>
    <r>
      <rPr>
        <sz val="9"/>
        <color rgb="FF000000"/>
        <rFont val="맑은 고딕"/>
        <family val="3"/>
        <charset val="129"/>
      </rPr>
      <t>완료일</t>
    </r>
    <r>
      <rPr>
        <sz val="9"/>
        <color rgb="FF000000"/>
        <rFont val="Calibri"/>
        <family val="2"/>
      </rPr>
      <t>(</t>
    </r>
    <r>
      <rPr>
        <sz val="9"/>
        <color rgb="FF000000"/>
        <rFont val="맑은 고딕"/>
        <family val="3"/>
        <charset val="129"/>
      </rPr>
      <t>또는</t>
    </r>
    <r>
      <rPr>
        <sz val="9"/>
        <color rgb="FF000000"/>
        <rFont val="Calibri"/>
        <family val="2"/>
      </rPr>
      <t xml:space="preserve"> </t>
    </r>
    <r>
      <rPr>
        <sz val="9"/>
        <color rgb="FF000000"/>
        <rFont val="맑은 고딕"/>
        <family val="3"/>
        <charset val="129"/>
      </rPr>
      <t>종료일</t>
    </r>
    <r>
      <rPr>
        <sz val="9"/>
        <color rgb="FF000000"/>
        <rFont val="Calibri"/>
        <family val="2"/>
      </rPr>
      <t>)</t>
    </r>
    <r>
      <rPr>
        <sz val="9"/>
        <color rgb="FF000000"/>
        <rFont val="맑은 고딕"/>
        <family val="3"/>
        <charset val="129"/>
      </rPr>
      <t>을</t>
    </r>
    <r>
      <rPr>
        <sz val="9"/>
        <color rgb="FF000000"/>
        <rFont val="Calibri"/>
        <family val="2"/>
      </rPr>
      <t xml:space="preserve"> </t>
    </r>
    <r>
      <rPr>
        <sz val="9"/>
        <color rgb="FF000000"/>
        <rFont val="맑은 고딕"/>
        <family val="3"/>
        <charset val="129"/>
      </rPr>
      <t>표시합니다</t>
    </r>
    <r>
      <rPr>
        <sz val="9"/>
        <color rgb="FF000000"/>
        <rFont val="Calibri"/>
        <family val="2"/>
      </rPr>
      <t xml:space="preserve">. </t>
    </r>
    <r>
      <rPr>
        <sz val="9"/>
        <color rgb="FF000000"/>
        <rFont val="맑은 고딕"/>
        <family val="3"/>
        <charset val="129"/>
      </rPr>
      <t>반드시</t>
    </r>
    <r>
      <rPr>
        <sz val="9"/>
        <color rgb="FF000000"/>
        <rFont val="Calibri"/>
        <family val="2"/>
      </rPr>
      <t xml:space="preserve"> </t>
    </r>
    <r>
      <rPr>
        <sz val="9"/>
        <color rgb="FF000000"/>
        <rFont val="맑은 고딕"/>
        <family val="3"/>
        <charset val="129"/>
      </rPr>
      <t>날짜</t>
    </r>
    <r>
      <rPr>
        <sz val="9"/>
        <color rgb="FF000000"/>
        <rFont val="Calibri"/>
        <family val="2"/>
      </rPr>
      <t xml:space="preserve"> </t>
    </r>
    <r>
      <rPr>
        <sz val="9"/>
        <color rgb="FF000000"/>
        <rFont val="맑은 고딕"/>
        <family val="3"/>
        <charset val="129"/>
      </rPr>
      <t>형식이어야</t>
    </r>
    <r>
      <rPr>
        <sz val="9"/>
        <color rgb="FF000000"/>
        <rFont val="Calibri"/>
        <family val="2"/>
      </rPr>
      <t xml:space="preserve"> </t>
    </r>
    <r>
      <rPr>
        <sz val="9"/>
        <color rgb="FF000000"/>
        <rFont val="맑은 고딕"/>
        <family val="3"/>
        <charset val="129"/>
      </rPr>
      <t>합니다</t>
    </r>
    <r>
      <rPr>
        <sz val="9"/>
        <color rgb="FF000000"/>
        <rFont val="Calibri"/>
        <family val="2"/>
      </rPr>
      <t>.</t>
    </r>
  </si>
  <si>
    <t>프로젝트 전체의 작업량을 Man/Day로 표시한다. 가중치를 적용한 값이다.</t>
  </si>
  <si>
    <r>
      <rPr>
        <sz val="9"/>
        <color rgb="FF000000"/>
        <rFont val="맑은 고딕"/>
        <family val="3"/>
        <charset val="129"/>
      </rPr>
      <t>가져오기</t>
    </r>
    <r>
      <rPr>
        <sz val="9"/>
        <color rgb="FF000000"/>
        <rFont val="Calibri"/>
        <family val="2"/>
      </rPr>
      <t xml:space="preserve"> </t>
    </r>
    <r>
      <rPr>
        <sz val="9"/>
        <color rgb="FF000000"/>
        <rFont val="맑은 고딕"/>
        <family val="3"/>
        <charset val="129"/>
      </rPr>
      <t>작업이</t>
    </r>
    <r>
      <rPr>
        <sz val="9"/>
        <color rgb="FF000000"/>
        <rFont val="Calibri"/>
        <family val="2"/>
      </rPr>
      <t xml:space="preserve"> </t>
    </r>
    <r>
      <rPr>
        <sz val="9"/>
        <color rgb="FF000000"/>
        <rFont val="맑은 고딕"/>
        <family val="3"/>
        <charset val="129"/>
      </rPr>
      <t>정상적으로</t>
    </r>
    <r>
      <rPr>
        <sz val="9"/>
        <color rgb="FF000000"/>
        <rFont val="Calibri"/>
        <family val="2"/>
      </rPr>
      <t xml:space="preserve"> </t>
    </r>
    <r>
      <rPr>
        <sz val="9"/>
        <color rgb="FF000000"/>
        <rFont val="맑은 고딕"/>
        <family val="3"/>
        <charset val="129"/>
      </rPr>
      <t>완료되었습니다</t>
    </r>
    <r>
      <rPr>
        <sz val="9"/>
        <color rgb="FF000000"/>
        <rFont val="Calibri"/>
        <family val="2"/>
      </rPr>
      <t>.\n</t>
    </r>
    <r>
      <rPr>
        <sz val="9"/>
        <color rgb="FF000000"/>
        <rFont val="맑은 고딕"/>
        <family val="3"/>
        <charset val="129"/>
      </rPr>
      <t>가져온</t>
    </r>
    <r>
      <rPr>
        <sz val="9"/>
        <color rgb="FF000000"/>
        <rFont val="Calibri"/>
        <family val="2"/>
      </rPr>
      <t xml:space="preserve"> </t>
    </r>
    <r>
      <rPr>
        <sz val="9"/>
        <color rgb="FF000000"/>
        <rFont val="맑은 고딕"/>
        <family val="3"/>
        <charset val="129"/>
      </rPr>
      <t>자료의</t>
    </r>
    <r>
      <rPr>
        <sz val="9"/>
        <color rgb="FF000000"/>
        <rFont val="Calibri"/>
        <family val="2"/>
      </rPr>
      <t xml:space="preserve"> </t>
    </r>
    <r>
      <rPr>
        <sz val="9"/>
        <color rgb="FF000000"/>
        <rFont val="맑은 고딕"/>
        <family val="3"/>
        <charset val="129"/>
      </rPr>
      <t>전체</t>
    </r>
    <r>
      <rPr>
        <sz val="9"/>
        <color rgb="FF000000"/>
        <rFont val="Calibri"/>
        <family val="2"/>
      </rPr>
      <t xml:space="preserve"> </t>
    </r>
    <r>
      <rPr>
        <sz val="9"/>
        <color rgb="FF000000"/>
        <rFont val="맑은 고딕"/>
        <family val="3"/>
        <charset val="129"/>
      </rPr>
      <t>행수</t>
    </r>
    <r>
      <rPr>
        <sz val="9"/>
        <color rgb="FF000000"/>
        <rFont val="Calibri"/>
        <family val="2"/>
      </rPr>
      <t xml:space="preserve"> : </t>
    </r>
  </si>
  <si>
    <t>Import without clearing the existing data.</t>
  </si>
  <si>
    <r>
      <rPr>
        <sz val="9"/>
        <color rgb="FF000000"/>
        <rFont val="맑은 고딕"/>
        <family val="3"/>
        <charset val="129"/>
      </rPr>
      <t>기간의</t>
    </r>
    <r>
      <rPr>
        <sz val="9"/>
        <color rgb="FF000000"/>
        <rFont val="Calibri"/>
        <family val="2"/>
      </rPr>
      <t xml:space="preserve"> </t>
    </r>
    <r>
      <rPr>
        <sz val="9"/>
        <color rgb="FF000000"/>
        <rFont val="맑은 고딕"/>
        <family val="3"/>
        <charset val="129"/>
      </rPr>
      <t>종류가</t>
    </r>
    <r>
      <rPr>
        <sz val="9"/>
        <color rgb="FF000000"/>
        <rFont val="Calibri"/>
        <family val="2"/>
      </rPr>
      <t xml:space="preserve"> </t>
    </r>
    <r>
      <rPr>
        <sz val="9"/>
        <color rgb="FF000000"/>
        <rFont val="맑은 고딕"/>
        <family val="3"/>
        <charset val="129"/>
      </rPr>
      <t>잘못되었습니다</t>
    </r>
    <r>
      <rPr>
        <sz val="9"/>
        <color rgb="FF000000"/>
        <rFont val="Calibri"/>
        <family val="2"/>
      </rPr>
      <t>. W(</t>
    </r>
    <r>
      <rPr>
        <sz val="9"/>
        <color rgb="FF000000"/>
        <rFont val="맑은 고딕"/>
        <family val="3"/>
        <charset val="129"/>
      </rPr>
      <t>주</t>
    </r>
    <r>
      <rPr>
        <sz val="9"/>
        <color rgb="FF000000"/>
        <rFont val="Calibri"/>
        <family val="2"/>
      </rPr>
      <t>), M(</t>
    </r>
    <r>
      <rPr>
        <sz val="9"/>
        <color rgb="FF000000"/>
        <rFont val="맑은 고딕"/>
        <family val="3"/>
        <charset val="129"/>
      </rPr>
      <t>월</t>
    </r>
    <r>
      <rPr>
        <sz val="9"/>
        <color rgb="FF000000"/>
        <rFont val="Calibri"/>
        <family val="2"/>
      </rPr>
      <t xml:space="preserve">) </t>
    </r>
    <r>
      <rPr>
        <sz val="9"/>
        <color rgb="FF000000"/>
        <rFont val="맑은 고딕"/>
        <family val="3"/>
        <charset val="129"/>
      </rPr>
      <t>중에</t>
    </r>
    <r>
      <rPr>
        <sz val="9"/>
        <color rgb="FF000000"/>
        <rFont val="Calibri"/>
        <family val="2"/>
      </rPr>
      <t xml:space="preserve"> </t>
    </r>
    <r>
      <rPr>
        <sz val="9"/>
        <color rgb="FF000000"/>
        <rFont val="맑은 고딕"/>
        <family val="3"/>
        <charset val="129"/>
      </rPr>
      <t>하나를</t>
    </r>
    <r>
      <rPr>
        <sz val="9"/>
        <color rgb="FF000000"/>
        <rFont val="Calibri"/>
        <family val="2"/>
      </rPr>
      <t xml:space="preserve"> </t>
    </r>
    <r>
      <rPr>
        <sz val="9"/>
        <color rgb="FF000000"/>
        <rFont val="맑은 고딕"/>
        <family val="3"/>
        <charset val="129"/>
      </rPr>
      <t>입력해야</t>
    </r>
    <r>
      <rPr>
        <sz val="9"/>
        <color rgb="FF000000"/>
        <rFont val="Calibri"/>
        <family val="2"/>
      </rPr>
      <t xml:space="preserve"> </t>
    </r>
    <r>
      <rPr>
        <sz val="9"/>
        <color rgb="FF000000"/>
        <rFont val="맑은 고딕"/>
        <family val="3"/>
        <charset val="129"/>
      </rPr>
      <t>합니다</t>
    </r>
  </si>
  <si>
    <r>
      <t>Task</t>
    </r>
    <r>
      <rPr>
        <sz val="9"/>
        <color rgb="FF000000"/>
        <rFont val="맑은 고딕"/>
        <family val="3"/>
        <charset val="129"/>
      </rPr>
      <t>의</t>
    </r>
    <r>
      <rPr>
        <sz val="9"/>
        <color rgb="FF000000"/>
        <rFont val="Calibri"/>
        <family val="2"/>
      </rPr>
      <t xml:space="preserve"> </t>
    </r>
    <r>
      <rPr>
        <sz val="9"/>
        <color rgb="FF000000"/>
        <rFont val="맑은 고딕"/>
        <family val="3"/>
        <charset val="129"/>
      </rPr>
      <t>가장</t>
    </r>
    <r>
      <rPr>
        <sz val="9"/>
        <color rgb="FF000000"/>
        <rFont val="Calibri"/>
        <family val="2"/>
      </rPr>
      <t xml:space="preserve"> </t>
    </r>
    <r>
      <rPr>
        <sz val="9"/>
        <color rgb="FF000000"/>
        <rFont val="맑은 고딕"/>
        <family val="3"/>
        <charset val="129"/>
      </rPr>
      <t>빠른</t>
    </r>
    <r>
      <rPr>
        <sz val="9"/>
        <color rgb="FF000000"/>
        <rFont val="Calibri"/>
        <family val="2"/>
      </rPr>
      <t xml:space="preserve"> </t>
    </r>
    <r>
      <rPr>
        <sz val="9"/>
        <color rgb="FF000000"/>
        <rFont val="맑은 고딕"/>
        <family val="3"/>
        <charset val="129"/>
      </rPr>
      <t>시작일과</t>
    </r>
    <r>
      <rPr>
        <sz val="9"/>
        <color rgb="FF000000"/>
        <rFont val="Calibri"/>
        <family val="2"/>
      </rPr>
      <t xml:space="preserve"> </t>
    </r>
    <r>
      <rPr>
        <sz val="9"/>
        <color rgb="FF000000"/>
        <rFont val="맑은 고딕"/>
        <family val="3"/>
        <charset val="129"/>
      </rPr>
      <t>가장</t>
    </r>
    <r>
      <rPr>
        <sz val="9"/>
        <color rgb="FF000000"/>
        <rFont val="Calibri"/>
        <family val="2"/>
      </rPr>
      <t xml:space="preserve"> </t>
    </r>
    <r>
      <rPr>
        <sz val="9"/>
        <color rgb="FF000000"/>
        <rFont val="맑은 고딕"/>
        <family val="3"/>
        <charset val="129"/>
      </rPr>
      <t>늦은</t>
    </r>
    <r>
      <rPr>
        <sz val="9"/>
        <color rgb="FF000000"/>
        <rFont val="Calibri"/>
        <family val="2"/>
      </rPr>
      <t xml:space="preserve"> </t>
    </r>
    <r>
      <rPr>
        <sz val="9"/>
        <color rgb="FF000000"/>
        <rFont val="맑은 고딕"/>
        <family val="3"/>
        <charset val="129"/>
      </rPr>
      <t>완료일을</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기간으로</t>
    </r>
    <r>
      <rPr>
        <sz val="9"/>
        <color rgb="FF000000"/>
        <rFont val="Calibri"/>
        <family val="2"/>
      </rPr>
      <t xml:space="preserve"> </t>
    </r>
    <r>
      <rPr>
        <sz val="9"/>
        <color rgb="FF000000"/>
        <rFont val="맑은 고딕"/>
        <family val="3"/>
        <charset val="129"/>
      </rPr>
      <t>자동설정</t>
    </r>
  </si>
  <si>
    <r>
      <t>{} sheet</t>
    </r>
    <r>
      <rPr>
        <sz val="9"/>
        <color rgb="FF000000"/>
        <rFont val="맑은 고딕"/>
        <family val="3"/>
        <charset val="129"/>
      </rPr>
      <t>가</t>
    </r>
    <r>
      <rPr>
        <sz val="9"/>
        <color rgb="FF000000"/>
        <rFont val="Calibri"/>
        <family val="2"/>
      </rPr>
      <t xml:space="preserve"> </t>
    </r>
    <r>
      <rPr>
        <sz val="9"/>
        <color rgb="FF000000"/>
        <rFont val="맑은 고딕"/>
        <family val="3"/>
        <charset val="129"/>
      </rPr>
      <t>존재하지</t>
    </r>
    <r>
      <rPr>
        <sz val="9"/>
        <color rgb="FF000000"/>
        <rFont val="Calibri"/>
        <family val="2"/>
      </rPr>
      <t xml:space="preserve"> </t>
    </r>
    <r>
      <rPr>
        <sz val="9"/>
        <color rgb="FF000000"/>
        <rFont val="맑은 고딕"/>
        <family val="3"/>
        <charset val="129"/>
      </rPr>
      <t>않습니다</t>
    </r>
    <r>
      <rPr>
        <sz val="9"/>
        <color rgb="FF000000"/>
        <rFont val="Calibri"/>
        <family val="2"/>
      </rPr>
      <t xml:space="preserve">. </t>
    </r>
    <r>
      <rPr>
        <sz val="9"/>
        <color rgb="FF000000"/>
        <rFont val="맑은 고딕"/>
        <family val="3"/>
        <charset val="129"/>
      </rPr>
      <t>이름을</t>
    </r>
    <r>
      <rPr>
        <sz val="9"/>
        <color rgb="FF000000"/>
        <rFont val="Calibri"/>
        <family val="2"/>
      </rPr>
      <t xml:space="preserve"> </t>
    </r>
    <r>
      <rPr>
        <sz val="9"/>
        <color rgb="FF000000"/>
        <rFont val="맑은 고딕"/>
        <family val="3"/>
        <charset val="129"/>
      </rPr>
      <t>변경하거나</t>
    </r>
    <r>
      <rPr>
        <sz val="9"/>
        <color rgb="FF000000"/>
        <rFont val="Calibri"/>
        <family val="2"/>
      </rPr>
      <t xml:space="preserve"> </t>
    </r>
    <r>
      <rPr>
        <sz val="9"/>
        <color rgb="FF000000"/>
        <rFont val="맑은 고딕"/>
        <family val="3"/>
        <charset val="129"/>
      </rPr>
      <t>삭제했는지</t>
    </r>
    <r>
      <rPr>
        <sz val="9"/>
        <color rgb="FF000000"/>
        <rFont val="Calibri"/>
        <family val="2"/>
      </rPr>
      <t xml:space="preserve"> </t>
    </r>
    <r>
      <rPr>
        <sz val="9"/>
        <color rgb="FF000000"/>
        <rFont val="맑은 고딕"/>
        <family val="3"/>
        <charset val="129"/>
      </rPr>
      <t>확인하세요</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</si>
  <si>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실제</t>
    </r>
    <r>
      <rPr>
        <sz val="9"/>
        <color rgb="FF000000"/>
        <rFont val="Calibri"/>
        <family val="2"/>
      </rPr>
      <t xml:space="preserve"> </t>
    </r>
    <r>
      <rPr>
        <sz val="9"/>
        <color rgb="FF000000"/>
        <rFont val="맑은 고딕"/>
        <family val="3"/>
        <charset val="129"/>
      </rPr>
      <t>시작일이</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기간을</t>
    </r>
    <r>
      <rPr>
        <sz val="9"/>
        <color rgb="FF000000"/>
        <rFont val="Calibri"/>
        <family val="2"/>
      </rPr>
      <t xml:space="preserve"> </t>
    </r>
    <r>
      <rPr>
        <sz val="9"/>
        <color rgb="FF000000"/>
        <rFont val="맑은 고딕"/>
        <family val="3"/>
        <charset val="129"/>
      </rPr>
      <t>벗어났습니다</t>
    </r>
    <r>
      <rPr>
        <sz val="9"/>
        <color rgb="FF000000"/>
        <rFont val="Calibri"/>
        <family val="2"/>
      </rPr>
      <t>.</t>
    </r>
  </si>
  <si>
    <r>
      <t>Gantt</t>
    </r>
    <r>
      <rPr>
        <sz val="9"/>
        <color rgb="FF000000"/>
        <rFont val="맑은 고딕"/>
        <family val="3"/>
        <charset val="129"/>
      </rPr>
      <t>영역의</t>
    </r>
    <r>
      <rPr>
        <sz val="9"/>
        <color rgb="FF000000"/>
        <rFont val="Calibri"/>
        <family val="2"/>
      </rPr>
      <t xml:space="preserve"> </t>
    </r>
    <r>
      <rPr>
        <sz val="9"/>
        <color rgb="FF000000"/>
        <rFont val="맑은 고딕"/>
        <family val="3"/>
        <charset val="129"/>
      </rPr>
      <t>첫번째</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</si>
  <si>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실적진척율을</t>
    </r>
    <r>
      <rPr>
        <sz val="9"/>
        <color rgb="FF000000"/>
        <rFont val="Calibri"/>
        <family val="2"/>
      </rPr>
      <t xml:space="preserve"> 0~100% </t>
    </r>
    <r>
      <rPr>
        <sz val="9"/>
        <color rgb="FF000000"/>
        <rFont val="맑은 고딕"/>
        <family val="3"/>
        <charset val="129"/>
      </rPr>
      <t>범위로</t>
    </r>
    <r>
      <rPr>
        <sz val="9"/>
        <color rgb="FF000000"/>
        <rFont val="Calibri"/>
        <family val="2"/>
      </rPr>
      <t xml:space="preserve"> </t>
    </r>
    <r>
      <rPr>
        <sz val="9"/>
        <color rgb="FF000000"/>
        <rFont val="맑은 고딕"/>
        <family val="3"/>
        <charset val="129"/>
      </rPr>
      <t>입력해주세요</t>
    </r>
    <r>
      <rPr>
        <sz val="9"/>
        <color rgb="FF000000"/>
        <rFont val="Calibri"/>
        <family val="2"/>
      </rPr>
      <t>.</t>
    </r>
  </si>
  <si>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전체의</t>
    </r>
    <r>
      <rPr>
        <sz val="9"/>
        <color rgb="FF000000"/>
        <rFont val="Calibri"/>
        <family val="2"/>
      </rPr>
      <t xml:space="preserve"> </t>
    </r>
    <r>
      <rPr>
        <sz val="9"/>
        <color rgb="FF000000"/>
        <rFont val="맑은 고딕"/>
        <family val="3"/>
        <charset val="129"/>
      </rPr>
      <t>작업량을</t>
    </r>
    <r>
      <rPr>
        <sz val="9"/>
        <color rgb="FF000000"/>
        <rFont val="Calibri"/>
        <family val="2"/>
      </rPr>
      <t xml:space="preserve"> Man/Day</t>
    </r>
    <r>
      <rPr>
        <sz val="9"/>
        <color rgb="FF000000"/>
        <rFont val="맑은 고딕"/>
        <family val="3"/>
        <charset val="129"/>
      </rPr>
      <t>로</t>
    </r>
    <r>
      <rPr>
        <sz val="9"/>
        <color rgb="FF000000"/>
        <rFont val="Calibri"/>
        <family val="2"/>
      </rPr>
      <t xml:space="preserve"> </t>
    </r>
    <r>
      <rPr>
        <sz val="9"/>
        <color rgb="FF000000"/>
        <rFont val="맑은 고딕"/>
        <family val="3"/>
        <charset val="129"/>
      </rPr>
      <t>표시한다</t>
    </r>
    <r>
      <rPr>
        <sz val="9"/>
        <color rgb="FF000000"/>
        <rFont val="Calibri"/>
        <family val="2"/>
      </rPr>
      <t xml:space="preserve">. </t>
    </r>
    <r>
      <rPr>
        <sz val="9"/>
        <color rgb="FF000000"/>
        <rFont val="맑은 고딕"/>
        <family val="3"/>
        <charset val="129"/>
      </rPr>
      <t>가중치를</t>
    </r>
    <r>
      <rPr>
        <sz val="9"/>
        <color rgb="FF000000"/>
        <rFont val="Calibri"/>
        <family val="2"/>
      </rPr>
      <t xml:space="preserve"> </t>
    </r>
    <r>
      <rPr>
        <sz val="9"/>
        <color rgb="FF000000"/>
        <rFont val="맑은 고딕"/>
        <family val="3"/>
        <charset val="129"/>
      </rPr>
      <t>적용한</t>
    </r>
    <r>
      <rPr>
        <sz val="9"/>
        <color rgb="FF000000"/>
        <rFont val="Calibri"/>
        <family val="2"/>
      </rPr>
      <t xml:space="preserve"> </t>
    </r>
    <r>
      <rPr>
        <sz val="9"/>
        <color rgb="FF000000"/>
        <rFont val="맑은 고딕"/>
        <family val="3"/>
        <charset val="129"/>
      </rPr>
      <t>값이다</t>
    </r>
    <r>
      <rPr>
        <sz val="9"/>
        <color rgb="FF000000"/>
        <rFont val="Calibri"/>
        <family val="2"/>
      </rPr>
      <t>.</t>
    </r>
  </si>
  <si>
    <t xml:space="preserve">              From                      To</t>
  </si>
  <si>
    <t>Actual progress rate(%Work Complete) field.</t>
  </si>
  <si>
    <t>Please set project calendars in this sheet.</t>
  </si>
  <si>
    <t>Display the total workload of the project</t>
  </si>
  <si>
    <t>"WBS"(Work Breakdown Structure) field. It displays the level of a task. Instead of WBS, you can use "Outline level".</t>
  </si>
  <si>
    <t>The following file formats are not supported. You can import the files if the version is 0.9.7 or higher than 0.9.7.</t>
  </si>
  <si>
    <r>
      <rPr>
        <sz val="9"/>
        <color rgb="FF000000"/>
        <rFont val="맑은 고딕"/>
        <family val="3"/>
        <charset val="129"/>
      </rPr>
      <t>파일을</t>
    </r>
    <r>
      <rPr>
        <sz val="9"/>
        <color rgb="FF000000"/>
        <rFont val="Calibri"/>
        <family val="2"/>
      </rPr>
      <t xml:space="preserve"> </t>
    </r>
    <r>
      <rPr>
        <sz val="9"/>
        <color rgb="FF000000"/>
        <rFont val="맑은 고딕"/>
        <family val="3"/>
        <charset val="129"/>
      </rPr>
      <t>열수</t>
    </r>
    <r>
      <rPr>
        <sz val="9"/>
        <color rgb="FF000000"/>
        <rFont val="Calibri"/>
        <family val="2"/>
      </rPr>
      <t xml:space="preserve"> </t>
    </r>
    <r>
      <rPr>
        <sz val="9"/>
        <color rgb="FF000000"/>
        <rFont val="맑은 고딕"/>
        <family val="3"/>
        <charset val="129"/>
      </rPr>
      <t>없습니다</t>
    </r>
    <r>
      <rPr>
        <sz val="9"/>
        <color rgb="FF000000"/>
        <rFont val="Calibri"/>
        <family val="2"/>
      </rPr>
      <t xml:space="preserve">. </t>
    </r>
    <r>
      <rPr>
        <sz val="9"/>
        <color rgb="FF000000"/>
        <rFont val="맑은 고딕"/>
        <family val="3"/>
        <charset val="129"/>
      </rPr>
      <t>환경설정</t>
    </r>
    <r>
      <rPr>
        <sz val="9"/>
        <color rgb="FF000000"/>
        <rFont val="Calibri"/>
        <family val="2"/>
      </rPr>
      <t>&gt;</t>
    </r>
    <r>
      <rPr>
        <sz val="9"/>
        <color rgb="FF000000"/>
        <rFont val="맑은 고딕"/>
        <family val="3"/>
        <charset val="129"/>
      </rPr>
      <t>산출물관리</t>
    </r>
    <r>
      <rPr>
        <sz val="9"/>
        <color rgb="FF000000"/>
        <rFont val="Calibri"/>
        <family val="2"/>
      </rPr>
      <t xml:space="preserve"> </t>
    </r>
    <r>
      <rPr>
        <sz val="9"/>
        <color rgb="FF000000"/>
        <rFont val="맑은 고딕"/>
        <family val="3"/>
        <charset val="129"/>
      </rPr>
      <t>탭에서</t>
    </r>
    <r>
      <rPr>
        <sz val="9"/>
        <color rgb="FF000000"/>
        <rFont val="Calibri"/>
        <family val="2"/>
      </rPr>
      <t xml:space="preserve"> "</t>
    </r>
    <r>
      <rPr>
        <sz val="9"/>
        <color rgb="FF000000"/>
        <rFont val="맑은 고딕"/>
        <family val="3"/>
        <charset val="129"/>
      </rPr>
      <t>산출물</t>
    </r>
    <r>
      <rPr>
        <sz val="9"/>
        <color rgb="FF000000"/>
        <rFont val="Calibri"/>
        <family val="2"/>
      </rPr>
      <t xml:space="preserve"> </t>
    </r>
    <r>
      <rPr>
        <sz val="9"/>
        <color rgb="FF000000"/>
        <rFont val="맑은 고딕"/>
        <family val="3"/>
        <charset val="129"/>
      </rPr>
      <t>관리를</t>
    </r>
    <r>
      <rPr>
        <sz val="9"/>
        <color rgb="FF000000"/>
        <rFont val="Calibri"/>
        <family val="2"/>
      </rPr>
      <t xml:space="preserve"> </t>
    </r>
    <r>
      <rPr>
        <sz val="9"/>
        <color rgb="FF000000"/>
        <rFont val="맑은 고딕"/>
        <family val="3"/>
        <charset val="129"/>
      </rPr>
      <t>할</t>
    </r>
    <r>
      <rPr>
        <sz val="9"/>
        <color rgb="FF000000"/>
        <rFont val="Calibri"/>
        <family val="2"/>
      </rPr>
      <t xml:space="preserve"> </t>
    </r>
    <r>
      <rPr>
        <sz val="9"/>
        <color rgb="FF000000"/>
        <rFont val="맑은 고딕"/>
        <family val="3"/>
        <charset val="129"/>
      </rPr>
      <t>경우에</t>
    </r>
    <r>
      <rPr>
        <sz val="9"/>
        <color rgb="FF000000"/>
        <rFont val="Calibri"/>
        <family val="2"/>
      </rPr>
      <t xml:space="preserve"> </t>
    </r>
    <r>
      <rPr>
        <sz val="9"/>
        <color rgb="FF000000"/>
        <rFont val="맑은 고딕"/>
        <family val="3"/>
        <charset val="129"/>
      </rPr>
      <t>체크하세요</t>
    </r>
    <r>
      <rPr>
        <sz val="9"/>
        <color rgb="FF000000"/>
        <rFont val="Calibri"/>
        <family val="2"/>
      </rPr>
      <t xml:space="preserve">" </t>
    </r>
    <r>
      <rPr>
        <sz val="9"/>
        <color rgb="FF000000"/>
        <rFont val="맑은 고딕"/>
        <family val="3"/>
        <charset val="129"/>
      </rPr>
      <t>옵션을</t>
    </r>
    <r>
      <rPr>
        <sz val="9"/>
        <color rgb="FF000000"/>
        <rFont val="Calibri"/>
        <family val="2"/>
      </rPr>
      <t xml:space="preserve"> </t>
    </r>
    <r>
      <rPr>
        <sz val="9"/>
        <color rgb="FF000000"/>
        <rFont val="맑은 고딕"/>
        <family val="3"/>
        <charset val="129"/>
      </rPr>
      <t>체크상태로</t>
    </r>
    <r>
      <rPr>
        <sz val="9"/>
        <color rgb="FF000000"/>
        <rFont val="Calibri"/>
        <family val="2"/>
      </rPr>
      <t xml:space="preserve"> </t>
    </r>
    <r>
      <rPr>
        <sz val="9"/>
        <color rgb="FF000000"/>
        <rFont val="맑은 고딕"/>
        <family val="3"/>
        <charset val="129"/>
      </rPr>
      <t>변경해</t>
    </r>
    <r>
      <rPr>
        <sz val="9"/>
        <color rgb="FF000000"/>
        <rFont val="Calibri"/>
        <family val="2"/>
      </rPr>
      <t xml:space="preserve"> </t>
    </r>
    <r>
      <rPr>
        <sz val="9"/>
        <color rgb="FF000000"/>
        <rFont val="맑은 고딕"/>
        <family val="3"/>
        <charset val="129"/>
      </rPr>
      <t>주세요</t>
    </r>
    <r>
      <rPr>
        <sz val="9"/>
        <color rgb="FF000000"/>
        <rFont val="Calibri"/>
        <family val="2"/>
      </rPr>
      <t>.</t>
    </r>
  </si>
  <si>
    <t>* Automactically calulated if you click the "Update Schedule" button</t>
  </si>
  <si>
    <t>Star(*) marks-required fields, orange columns-automatically calculated</t>
  </si>
  <si>
    <r>
      <t xml:space="preserve">* </t>
    </r>
    <r>
      <rPr>
        <sz val="9"/>
        <color rgb="FF000000"/>
        <rFont val="맑은 고딕"/>
        <family val="3"/>
        <charset val="129"/>
      </rPr>
      <t>담당별로</t>
    </r>
    <r>
      <rPr>
        <sz val="9"/>
        <color rgb="FF000000"/>
        <rFont val="Calibri"/>
        <family val="2"/>
      </rPr>
      <t xml:space="preserve"> </t>
    </r>
    <r>
      <rPr>
        <sz val="9"/>
        <color rgb="FF000000"/>
        <rFont val="맑은 고딕"/>
        <family val="3"/>
        <charset val="129"/>
      </rPr>
      <t>투입된</t>
    </r>
    <r>
      <rPr>
        <sz val="9"/>
        <color rgb="FF000000"/>
        <rFont val="Calibri"/>
        <family val="2"/>
      </rPr>
      <t xml:space="preserve"> Task</t>
    </r>
    <r>
      <rPr>
        <sz val="9"/>
        <color rgb="FF000000"/>
        <rFont val="맑은 고딕"/>
        <family val="3"/>
        <charset val="129"/>
      </rPr>
      <t>와</t>
    </r>
    <r>
      <rPr>
        <sz val="9"/>
        <color rgb="FF000000"/>
        <rFont val="Calibri"/>
        <family val="2"/>
      </rPr>
      <t xml:space="preserve"> </t>
    </r>
    <r>
      <rPr>
        <sz val="9"/>
        <color rgb="FF000000"/>
        <rFont val="맑은 고딕"/>
        <family val="3"/>
        <charset val="129"/>
      </rPr>
      <t>총작업량</t>
    </r>
    <r>
      <rPr>
        <sz val="9"/>
        <color rgb="FF000000"/>
        <rFont val="Calibri"/>
        <family val="2"/>
      </rPr>
      <t xml:space="preserve">, </t>
    </r>
    <r>
      <rPr>
        <sz val="9"/>
        <color rgb="FF000000"/>
        <rFont val="맑은 고딕"/>
        <family val="3"/>
        <charset val="129"/>
      </rPr>
      <t>계획작업량</t>
    </r>
    <r>
      <rPr>
        <sz val="9"/>
        <color rgb="FF000000"/>
        <rFont val="Calibri"/>
        <family val="2"/>
      </rPr>
      <t xml:space="preserve">, </t>
    </r>
    <r>
      <rPr>
        <sz val="9"/>
        <color rgb="FF000000"/>
        <rFont val="맑은 고딕"/>
        <family val="3"/>
        <charset val="129"/>
      </rPr>
      <t>진척작업을</t>
    </r>
    <r>
      <rPr>
        <sz val="9"/>
        <color rgb="FF000000"/>
        <rFont val="Calibri"/>
        <family val="2"/>
      </rPr>
      <t xml:space="preserve"> Man-day</t>
    </r>
    <r>
      <rPr>
        <sz val="9"/>
        <color rgb="FF000000"/>
        <rFont val="맑은 고딕"/>
        <family val="3"/>
        <charset val="129"/>
      </rPr>
      <t>로</t>
    </r>
    <r>
      <rPr>
        <sz val="9"/>
        <color rgb="FF000000"/>
        <rFont val="Calibri"/>
        <family val="2"/>
      </rPr>
      <t xml:space="preserve"> </t>
    </r>
    <r>
      <rPr>
        <sz val="9"/>
        <color rgb="FF000000"/>
        <rFont val="맑은 고딕"/>
        <family val="3"/>
        <charset val="129"/>
      </rPr>
      <t>보여주고</t>
    </r>
    <r>
      <rPr>
        <sz val="9"/>
        <color rgb="FF000000"/>
        <rFont val="Calibri"/>
        <family val="2"/>
      </rPr>
      <t xml:space="preserve">, </t>
    </r>
    <r>
      <rPr>
        <sz val="9"/>
        <color rgb="FF000000"/>
        <rFont val="맑은 고딕"/>
        <family val="3"/>
        <charset val="129"/>
      </rPr>
      <t>계획</t>
    </r>
    <r>
      <rPr>
        <sz val="9"/>
        <color rgb="FF000000"/>
        <rFont val="Calibri"/>
        <family val="2"/>
      </rPr>
      <t>/</t>
    </r>
    <r>
      <rPr>
        <sz val="9"/>
        <color rgb="FF000000"/>
        <rFont val="맑은 고딕"/>
        <family val="3"/>
        <charset val="129"/>
      </rPr>
      <t>실적</t>
    </r>
    <r>
      <rPr>
        <sz val="9"/>
        <color rgb="FF000000"/>
        <rFont val="Calibri"/>
        <family val="2"/>
      </rPr>
      <t xml:space="preserve"> </t>
    </r>
    <r>
      <rPr>
        <sz val="9"/>
        <color rgb="FF000000"/>
        <rFont val="맑은 고딕"/>
        <family val="3"/>
        <charset val="129"/>
      </rPr>
      <t>진행율을</t>
    </r>
    <r>
      <rPr>
        <sz val="9"/>
        <color rgb="FF000000"/>
        <rFont val="Calibri"/>
        <family val="2"/>
      </rPr>
      <t xml:space="preserve"> </t>
    </r>
    <r>
      <rPr>
        <sz val="9"/>
        <color rgb="FF000000"/>
        <rFont val="맑은 고딕"/>
        <family val="3"/>
        <charset val="129"/>
      </rPr>
      <t>보여줍니다</t>
    </r>
    <r>
      <rPr>
        <sz val="9"/>
        <color rgb="FF000000"/>
        <rFont val="Calibri"/>
        <family val="2"/>
      </rPr>
      <t>.</t>
    </r>
  </si>
  <si>
    <t>Task name field.It's also referred to as "Work" or "Activity" or etc.</t>
  </si>
  <si>
    <t>Import new data into the Schedule sheet after clearing the exisint data</t>
  </si>
  <si>
    <t>An error occurred while processing. Please check the messages below.</t>
  </si>
  <si>
    <r>
      <t>"</t>
    </r>
    <r>
      <rPr>
        <sz val="9"/>
        <color rgb="FF000000"/>
        <rFont val="맑은 고딕"/>
        <family val="3"/>
        <charset val="129"/>
      </rPr>
      <t>같은</t>
    </r>
    <r>
      <rPr>
        <sz val="9"/>
        <color rgb="FF000000"/>
        <rFont val="Calibri"/>
        <family val="2"/>
      </rPr>
      <t xml:space="preserve"> </t>
    </r>
    <r>
      <rPr>
        <sz val="9"/>
        <color rgb="FF000000"/>
        <rFont val="맑은 고딕"/>
        <family val="3"/>
        <charset val="129"/>
      </rPr>
      <t>필드에</t>
    </r>
    <r>
      <rPr>
        <sz val="9"/>
        <color rgb="FF000000"/>
        <rFont val="Calibri"/>
        <family val="2"/>
      </rPr>
      <t xml:space="preserve"> </t>
    </r>
    <r>
      <rPr>
        <sz val="9"/>
        <color rgb="FF000000"/>
        <rFont val="맑은 고딕"/>
        <family val="3"/>
        <charset val="129"/>
      </rPr>
      <t>작업명</t>
    </r>
    <r>
      <rPr>
        <sz val="9"/>
        <color rgb="FF000000"/>
        <rFont val="Calibri"/>
        <family val="2"/>
      </rPr>
      <t xml:space="preserve"> </t>
    </r>
    <r>
      <rPr>
        <sz val="9"/>
        <color rgb="FF000000"/>
        <rFont val="맑은 고딕"/>
        <family val="3"/>
        <charset val="129"/>
      </rPr>
      <t>표시</t>
    </r>
    <r>
      <rPr>
        <sz val="9"/>
        <color rgb="FF000000"/>
        <rFont val="Calibri"/>
        <family val="2"/>
      </rPr>
      <t xml:space="preserve">" </t>
    </r>
    <r>
      <rPr>
        <sz val="9"/>
        <color rgb="FF000000"/>
        <rFont val="맑은 고딕"/>
        <family val="3"/>
        <charset val="129"/>
      </rPr>
      <t>옵션을</t>
    </r>
    <r>
      <rPr>
        <sz val="9"/>
        <color rgb="FF000000"/>
        <rFont val="Calibri"/>
        <family val="2"/>
      </rPr>
      <t xml:space="preserve"> </t>
    </r>
    <r>
      <rPr>
        <sz val="9"/>
        <color rgb="FF000000"/>
        <rFont val="맑은 고딕"/>
        <family val="3"/>
        <charset val="129"/>
      </rPr>
      <t>선택했으면</t>
    </r>
    <r>
      <rPr>
        <sz val="9"/>
        <color rgb="FF000000"/>
        <rFont val="Calibri"/>
        <family val="2"/>
      </rPr>
      <t xml:space="preserve"> WBS No. </t>
    </r>
    <r>
      <rPr>
        <sz val="9"/>
        <color rgb="FF000000"/>
        <rFont val="맑은 고딕"/>
        <family val="3"/>
        <charset val="129"/>
      </rPr>
      <t>또는</t>
    </r>
    <r>
      <rPr>
        <sz val="9"/>
        <color rgb="FF000000"/>
        <rFont val="Calibri"/>
        <family val="2"/>
      </rPr>
      <t xml:space="preserve"> </t>
    </r>
    <r>
      <rPr>
        <sz val="9"/>
        <color rgb="FF000000"/>
        <rFont val="맑은 고딕"/>
        <family val="3"/>
        <charset val="129"/>
      </rPr>
      <t>개요수준</t>
    </r>
    <r>
      <rPr>
        <sz val="9"/>
        <color rgb="FF000000"/>
        <rFont val="Calibri"/>
        <family val="2"/>
      </rPr>
      <t xml:space="preserve">(WBS Level) </t>
    </r>
    <r>
      <rPr>
        <sz val="9"/>
        <color rgb="FF000000"/>
        <rFont val="맑은 고딕"/>
        <family val="3"/>
        <charset val="129"/>
      </rPr>
      <t>필드</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하나는</t>
    </r>
    <r>
      <rPr>
        <sz val="9"/>
        <color rgb="FF000000"/>
        <rFont val="Calibri"/>
        <family val="2"/>
      </rPr>
      <t xml:space="preserve"> </t>
    </r>
    <r>
      <rPr>
        <sz val="9"/>
        <color rgb="FF000000"/>
        <rFont val="맑은 고딕"/>
        <family val="3"/>
        <charset val="129"/>
      </rPr>
      <t>선택되어야</t>
    </r>
    <r>
      <rPr>
        <sz val="9"/>
        <color rgb="FF000000"/>
        <rFont val="Calibri"/>
        <family val="2"/>
      </rPr>
      <t xml:space="preserve"> </t>
    </r>
    <r>
      <rPr>
        <sz val="9"/>
        <color rgb="FF000000"/>
        <rFont val="맑은 고딕"/>
        <family val="3"/>
        <charset val="129"/>
      </rPr>
      <t>합니다</t>
    </r>
  </si>
  <si>
    <t>The start date format of row number {1} in the {2} sheet is invalid.</t>
  </si>
  <si>
    <t>The finish date format of row number {1} in the {2} sheet is invalid.</t>
  </si>
  <si>
    <t>Actually performed workload when not managing schedule changes(Total Duration x %Work Complete)</t>
  </si>
  <si>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</si>
  <si>
    <t>여기에는 프로젝트의 휴무일만 입력하세요.휴무일을 제외한 날짜는 근무일자로 설정됩니다. 
휴무일을 입력해야 작업기간 계산시 반영합니다. 입력한 일자만큼 작업기간에서 제외합니다.
(단, 옵션창의 캘린더 설정에 따라 휴무일계산방법은 달라질 수 있습니다.)
표준캘린더는 기본으로 적용되는 캘린더이며 특정 작업에 다른 캘린더를 지정하고 싶으면 "사용자정의 캘린더1", "사용자정의 캘린더2"에 휴무일을 지정하여 사용합니다.</t>
  </si>
  <si>
    <r>
      <rPr>
        <sz val="9"/>
        <color rgb="FF000000"/>
        <rFont val="맑은 고딕"/>
        <family val="3"/>
        <charset val="129"/>
      </rPr>
      <t>여기에는</t>
    </r>
    <r>
      <rPr>
        <sz val="9"/>
        <color rgb="FF000000"/>
        <rFont val="Calibri"/>
        <family val="2"/>
      </rPr>
      <t xml:space="preserve"> </t>
    </r>
    <r>
      <rPr>
        <sz val="9"/>
        <color rgb="FF000000"/>
        <rFont val="맑은 고딕"/>
        <family val="3"/>
        <charset val="129"/>
      </rPr>
      <t>프로젝트의</t>
    </r>
    <r>
      <rPr>
        <sz val="9"/>
        <color rgb="FF000000"/>
        <rFont val="Calibri"/>
        <family val="2"/>
      </rPr>
      <t xml:space="preserve"> </t>
    </r>
    <r>
      <rPr>
        <sz val="9"/>
        <color rgb="FF000000"/>
        <rFont val="맑은 고딕"/>
        <family val="3"/>
        <charset val="129"/>
      </rPr>
      <t>휴무일만</t>
    </r>
    <r>
      <rPr>
        <sz val="9"/>
        <color rgb="FF000000"/>
        <rFont val="Calibri"/>
        <family val="2"/>
      </rPr>
      <t xml:space="preserve"> </t>
    </r>
    <r>
      <rPr>
        <sz val="9"/>
        <color rgb="FF000000"/>
        <rFont val="맑은 고딕"/>
        <family val="3"/>
        <charset val="129"/>
      </rPr>
      <t>입력하세요</t>
    </r>
    <r>
      <rPr>
        <sz val="9"/>
        <color rgb="FF000000"/>
        <rFont val="Calibri"/>
        <family val="2"/>
      </rPr>
      <t>.</t>
    </r>
    <r>
      <rPr>
        <sz val="9"/>
        <color rgb="FF000000"/>
        <rFont val="맑은 고딕"/>
        <family val="3"/>
        <charset val="129"/>
      </rPr>
      <t>휴무일을</t>
    </r>
    <r>
      <rPr>
        <sz val="9"/>
        <color rgb="FF000000"/>
        <rFont val="Calibri"/>
        <family val="2"/>
      </rPr>
      <t xml:space="preserve"> </t>
    </r>
    <r>
      <rPr>
        <sz val="9"/>
        <color rgb="FF000000"/>
        <rFont val="맑은 고딕"/>
        <family val="3"/>
        <charset val="129"/>
      </rPr>
      <t>제외한</t>
    </r>
    <r>
      <rPr>
        <sz val="9"/>
        <color rgb="FF000000"/>
        <rFont val="Calibri"/>
        <family val="2"/>
      </rPr>
      <t xml:space="preserve"> </t>
    </r>
    <r>
      <rPr>
        <sz val="9"/>
        <color rgb="FF000000"/>
        <rFont val="맑은 고딕"/>
        <family val="3"/>
        <charset val="129"/>
      </rPr>
      <t>날짜는</t>
    </r>
    <r>
      <rPr>
        <sz val="9"/>
        <color rgb="FF000000"/>
        <rFont val="Calibri"/>
        <family val="2"/>
      </rPr>
      <t xml:space="preserve"> </t>
    </r>
    <r>
      <rPr>
        <sz val="9"/>
        <color rgb="FF000000"/>
        <rFont val="맑은 고딕"/>
        <family val="3"/>
        <charset val="129"/>
      </rPr>
      <t>근무일자로</t>
    </r>
    <r>
      <rPr>
        <sz val="9"/>
        <color rgb="FF000000"/>
        <rFont val="Calibri"/>
        <family val="2"/>
      </rPr>
      <t xml:space="preserve"> </t>
    </r>
    <r>
      <rPr>
        <sz val="9"/>
        <color rgb="FF000000"/>
        <rFont val="맑은 고딕"/>
        <family val="3"/>
        <charset val="129"/>
      </rPr>
      <t>설정됩니다</t>
    </r>
    <r>
      <rPr>
        <sz val="9"/>
        <color rgb="FF000000"/>
        <rFont val="Calibri"/>
        <family val="2"/>
      </rPr>
      <t>. \n</t>
    </r>
    <r>
      <rPr>
        <sz val="9"/>
        <color rgb="FF000000"/>
        <rFont val="맑은 고딕"/>
        <family val="3"/>
        <charset val="129"/>
      </rPr>
      <t>휴무일을</t>
    </r>
    <r>
      <rPr>
        <sz val="9"/>
        <color rgb="FF000000"/>
        <rFont val="Calibri"/>
        <family val="2"/>
      </rPr>
      <t xml:space="preserve"> </t>
    </r>
    <r>
      <rPr>
        <sz val="9"/>
        <color rgb="FF000000"/>
        <rFont val="맑은 고딕"/>
        <family val="3"/>
        <charset val="129"/>
      </rPr>
      <t>입력해야</t>
    </r>
    <r>
      <rPr>
        <sz val="9"/>
        <color rgb="FF000000"/>
        <rFont val="Calibri"/>
        <family val="2"/>
      </rPr>
      <t xml:space="preserve"> </t>
    </r>
    <r>
      <rPr>
        <sz val="9"/>
        <color rgb="FF000000"/>
        <rFont val="맑은 고딕"/>
        <family val="3"/>
        <charset val="129"/>
      </rPr>
      <t>작업기간</t>
    </r>
    <r>
      <rPr>
        <sz val="9"/>
        <color rgb="FF000000"/>
        <rFont val="Calibri"/>
        <family val="2"/>
      </rPr>
      <t xml:space="preserve"> </t>
    </r>
    <r>
      <rPr>
        <sz val="9"/>
        <color rgb="FF000000"/>
        <rFont val="맑은 고딕"/>
        <family val="3"/>
        <charset val="129"/>
      </rPr>
      <t>계산시</t>
    </r>
    <r>
      <rPr>
        <sz val="9"/>
        <color rgb="FF000000"/>
        <rFont val="Calibri"/>
        <family val="2"/>
      </rPr>
      <t xml:space="preserve"> </t>
    </r>
    <r>
      <rPr>
        <sz val="9"/>
        <color rgb="FF000000"/>
        <rFont val="맑은 고딕"/>
        <family val="3"/>
        <charset val="129"/>
      </rPr>
      <t>반영합니다</t>
    </r>
    <r>
      <rPr>
        <sz val="9"/>
        <color rgb="FF000000"/>
        <rFont val="Calibri"/>
        <family val="2"/>
      </rPr>
      <t xml:space="preserve">. </t>
    </r>
    <r>
      <rPr>
        <sz val="9"/>
        <color rgb="FF000000"/>
        <rFont val="맑은 고딕"/>
        <family val="3"/>
        <charset val="129"/>
      </rPr>
      <t>입력한</t>
    </r>
    <r>
      <rPr>
        <sz val="9"/>
        <color rgb="FF000000"/>
        <rFont val="Calibri"/>
        <family val="2"/>
      </rPr>
      <t xml:space="preserve"> </t>
    </r>
    <r>
      <rPr>
        <sz val="9"/>
        <color rgb="FF000000"/>
        <rFont val="맑은 고딕"/>
        <family val="3"/>
        <charset val="129"/>
      </rPr>
      <t>일자만큼</t>
    </r>
    <r>
      <rPr>
        <sz val="9"/>
        <color rgb="FF000000"/>
        <rFont val="Calibri"/>
        <family val="2"/>
      </rPr>
      <t xml:space="preserve"> </t>
    </r>
    <r>
      <rPr>
        <sz val="9"/>
        <color rgb="FF000000"/>
        <rFont val="맑은 고딕"/>
        <family val="3"/>
        <charset val="129"/>
      </rPr>
      <t>작업기간에서</t>
    </r>
    <r>
      <rPr>
        <sz val="9"/>
        <color rgb="FF000000"/>
        <rFont val="Calibri"/>
        <family val="2"/>
      </rPr>
      <t xml:space="preserve"> </t>
    </r>
    <r>
      <rPr>
        <sz val="9"/>
        <color rgb="FF000000"/>
        <rFont val="맑은 고딕"/>
        <family val="3"/>
        <charset val="129"/>
      </rPr>
      <t>제외합니다</t>
    </r>
    <r>
      <rPr>
        <sz val="9"/>
        <color rgb="FF000000"/>
        <rFont val="Calibri"/>
        <family val="2"/>
      </rPr>
      <t>.\n(</t>
    </r>
    <r>
      <rPr>
        <sz val="9"/>
        <color rgb="FF000000"/>
        <rFont val="맑은 고딕"/>
        <family val="3"/>
        <charset val="129"/>
      </rPr>
      <t>단</t>
    </r>
    <r>
      <rPr>
        <sz val="9"/>
        <color rgb="FF000000"/>
        <rFont val="Calibri"/>
        <family val="2"/>
      </rPr>
      <t xml:space="preserve">, </t>
    </r>
    <r>
      <rPr>
        <sz val="9"/>
        <color rgb="FF000000"/>
        <rFont val="맑은 고딕"/>
        <family val="3"/>
        <charset val="129"/>
      </rPr>
      <t>옵션창의</t>
    </r>
    <r>
      <rPr>
        <sz val="9"/>
        <color rgb="FF000000"/>
        <rFont val="Calibri"/>
        <family val="2"/>
      </rPr>
      <t xml:space="preserve"> </t>
    </r>
    <r>
      <rPr>
        <sz val="9"/>
        <color rgb="FF000000"/>
        <rFont val="맑은 고딕"/>
        <family val="3"/>
        <charset val="129"/>
      </rPr>
      <t>캘린더</t>
    </r>
    <r>
      <rPr>
        <sz val="9"/>
        <color rgb="FF000000"/>
        <rFont val="Calibri"/>
        <family val="2"/>
      </rPr>
      <t xml:space="preserve"> </t>
    </r>
    <r>
      <rPr>
        <sz val="9"/>
        <color rgb="FF000000"/>
        <rFont val="맑은 고딕"/>
        <family val="3"/>
        <charset val="129"/>
      </rPr>
      <t>설정에</t>
    </r>
    <r>
      <rPr>
        <sz val="9"/>
        <color rgb="FF000000"/>
        <rFont val="Calibri"/>
        <family val="2"/>
      </rPr>
      <t xml:space="preserve"> </t>
    </r>
    <r>
      <rPr>
        <sz val="9"/>
        <color rgb="FF000000"/>
        <rFont val="맑은 고딕"/>
        <family val="3"/>
        <charset val="129"/>
      </rPr>
      <t>따라</t>
    </r>
    <r>
      <rPr>
        <sz val="9"/>
        <color rgb="FF000000"/>
        <rFont val="Calibri"/>
        <family val="2"/>
      </rPr>
      <t xml:space="preserve"> </t>
    </r>
    <r>
      <rPr>
        <sz val="9"/>
        <color rgb="FF000000"/>
        <rFont val="맑은 고딕"/>
        <family val="3"/>
        <charset val="129"/>
      </rPr>
      <t>휴무일계산방법은</t>
    </r>
    <r>
      <rPr>
        <sz val="9"/>
        <color rgb="FF000000"/>
        <rFont val="Calibri"/>
        <family val="2"/>
      </rPr>
      <t xml:space="preserve"> </t>
    </r>
    <r>
      <rPr>
        <sz val="9"/>
        <color rgb="FF000000"/>
        <rFont val="맑은 고딕"/>
        <family val="3"/>
        <charset val="129"/>
      </rPr>
      <t>달라질</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.)\n</t>
    </r>
    <r>
      <rPr>
        <sz val="9"/>
        <color rgb="FF000000"/>
        <rFont val="맑은 고딕"/>
        <family val="3"/>
        <charset val="129"/>
      </rPr>
      <t>표준캘린더는</t>
    </r>
    <r>
      <rPr>
        <sz val="9"/>
        <color rgb="FF000000"/>
        <rFont val="Calibri"/>
        <family val="2"/>
      </rPr>
      <t xml:space="preserve"> </t>
    </r>
    <r>
      <rPr>
        <sz val="9"/>
        <color rgb="FF000000"/>
        <rFont val="맑은 고딕"/>
        <family val="3"/>
        <charset val="129"/>
      </rPr>
      <t>기본으로</t>
    </r>
    <r>
      <rPr>
        <sz val="9"/>
        <color rgb="FF000000"/>
        <rFont val="Calibri"/>
        <family val="2"/>
      </rPr>
      <t xml:space="preserve"> </t>
    </r>
    <r>
      <rPr>
        <sz val="9"/>
        <color rgb="FF000000"/>
        <rFont val="맑은 고딕"/>
        <family val="3"/>
        <charset val="129"/>
      </rPr>
      <t>적용되는</t>
    </r>
    <r>
      <rPr>
        <sz val="9"/>
        <color rgb="FF000000"/>
        <rFont val="Calibri"/>
        <family val="2"/>
      </rPr>
      <t xml:space="preserve"> </t>
    </r>
    <r>
      <rPr>
        <sz val="9"/>
        <color rgb="FF000000"/>
        <rFont val="맑은 고딕"/>
        <family val="3"/>
        <charset val="129"/>
      </rPr>
      <t>캘린더이며</t>
    </r>
    <r>
      <rPr>
        <sz val="9"/>
        <color rgb="FF000000"/>
        <rFont val="Calibri"/>
        <family val="2"/>
      </rPr>
      <t xml:space="preserve"> </t>
    </r>
    <r>
      <rPr>
        <sz val="9"/>
        <color rgb="FF000000"/>
        <rFont val="맑은 고딕"/>
        <family val="3"/>
        <charset val="129"/>
      </rPr>
      <t>특정</t>
    </r>
    <r>
      <rPr>
        <sz val="9"/>
        <color rgb="FF000000"/>
        <rFont val="Calibri"/>
        <family val="2"/>
      </rPr>
      <t xml:space="preserve"> </t>
    </r>
    <r>
      <rPr>
        <sz val="9"/>
        <color rgb="FF000000"/>
        <rFont val="맑은 고딕"/>
        <family val="3"/>
        <charset val="129"/>
      </rPr>
      <t>작업에</t>
    </r>
    <r>
      <rPr>
        <sz val="9"/>
        <color rgb="FF000000"/>
        <rFont val="Calibri"/>
        <family val="2"/>
      </rPr>
      <t xml:space="preserve"> </t>
    </r>
    <r>
      <rPr>
        <sz val="9"/>
        <color rgb="FF000000"/>
        <rFont val="맑은 고딕"/>
        <family val="3"/>
        <charset val="129"/>
      </rPr>
      <t>다른</t>
    </r>
    <r>
      <rPr>
        <sz val="9"/>
        <color rgb="FF000000"/>
        <rFont val="Calibri"/>
        <family val="2"/>
      </rPr>
      <t xml:space="preserve"> </t>
    </r>
    <r>
      <rPr>
        <sz val="9"/>
        <color rgb="FF000000"/>
        <rFont val="맑은 고딕"/>
        <family val="3"/>
        <charset val="129"/>
      </rPr>
      <t>캘린더를</t>
    </r>
    <r>
      <rPr>
        <sz val="9"/>
        <color rgb="FF000000"/>
        <rFont val="Calibri"/>
        <family val="2"/>
      </rPr>
      <t xml:space="preserve"> </t>
    </r>
    <r>
      <rPr>
        <sz val="9"/>
        <color rgb="FF000000"/>
        <rFont val="맑은 고딕"/>
        <family val="3"/>
        <charset val="129"/>
      </rPr>
      <t>지정하고</t>
    </r>
    <r>
      <rPr>
        <sz val="9"/>
        <color rgb="FF000000"/>
        <rFont val="Calibri"/>
        <family val="2"/>
      </rPr>
      <t xml:space="preserve"> </t>
    </r>
    <r>
      <rPr>
        <sz val="9"/>
        <color rgb="FF000000"/>
        <rFont val="맑은 고딕"/>
        <family val="3"/>
        <charset val="129"/>
      </rPr>
      <t>싶으면</t>
    </r>
    <r>
      <rPr>
        <sz val="9"/>
        <color rgb="FF000000"/>
        <rFont val="Calibri"/>
        <family val="2"/>
      </rPr>
      <t xml:space="preserve"> "</t>
    </r>
    <r>
      <rPr>
        <sz val="9"/>
        <color rgb="FF000000"/>
        <rFont val="맑은 고딕"/>
        <family val="3"/>
        <charset val="129"/>
      </rPr>
      <t>사용자정의</t>
    </r>
    <r>
      <rPr>
        <sz val="9"/>
        <color rgb="FF000000"/>
        <rFont val="Calibri"/>
        <family val="2"/>
      </rPr>
      <t xml:space="preserve"> </t>
    </r>
    <r>
      <rPr>
        <sz val="9"/>
        <color rgb="FF000000"/>
        <rFont val="맑은 고딕"/>
        <family val="3"/>
        <charset val="129"/>
      </rPr>
      <t>캘린더</t>
    </r>
    <r>
      <rPr>
        <sz val="9"/>
        <color rgb="FF000000"/>
        <rFont val="Calibri"/>
        <family val="2"/>
      </rPr>
      <t>1", "</t>
    </r>
    <r>
      <rPr>
        <sz val="9"/>
        <color rgb="FF000000"/>
        <rFont val="맑은 고딕"/>
        <family val="3"/>
        <charset val="129"/>
      </rPr>
      <t>사용자정의</t>
    </r>
    <r>
      <rPr>
        <sz val="9"/>
        <color rgb="FF000000"/>
        <rFont val="Calibri"/>
        <family val="2"/>
      </rPr>
      <t xml:space="preserve"> </t>
    </r>
    <r>
      <rPr>
        <sz val="9"/>
        <color rgb="FF000000"/>
        <rFont val="맑은 고딕"/>
        <family val="3"/>
        <charset val="129"/>
      </rPr>
      <t>캘린더</t>
    </r>
    <r>
      <rPr>
        <sz val="9"/>
        <color rgb="FF000000"/>
        <rFont val="Calibri"/>
        <family val="2"/>
      </rPr>
      <t>2"</t>
    </r>
    <r>
      <rPr>
        <sz val="9"/>
        <color rgb="FF000000"/>
        <rFont val="맑은 고딕"/>
        <family val="3"/>
        <charset val="129"/>
      </rPr>
      <t>에</t>
    </r>
    <r>
      <rPr>
        <sz val="9"/>
        <color rgb="FF000000"/>
        <rFont val="Calibri"/>
        <family val="2"/>
      </rPr>
      <t xml:space="preserve"> </t>
    </r>
    <r>
      <rPr>
        <sz val="9"/>
        <color rgb="FF000000"/>
        <rFont val="맑은 고딕"/>
        <family val="3"/>
        <charset val="129"/>
      </rPr>
      <t>휴무일을</t>
    </r>
    <r>
      <rPr>
        <sz val="9"/>
        <color rgb="FF000000"/>
        <rFont val="Calibri"/>
        <family val="2"/>
      </rPr>
      <t xml:space="preserve"> </t>
    </r>
    <r>
      <rPr>
        <sz val="9"/>
        <color rgb="FF000000"/>
        <rFont val="맑은 고딕"/>
        <family val="3"/>
        <charset val="129"/>
      </rPr>
      <t>지정하여</t>
    </r>
    <r>
      <rPr>
        <sz val="9"/>
        <color rgb="FF000000"/>
        <rFont val="Calibri"/>
        <family val="2"/>
      </rPr>
      <t xml:space="preserve"> </t>
    </r>
    <r>
      <rPr>
        <sz val="9"/>
        <color rgb="FF000000"/>
        <rFont val="맑은 고딕"/>
        <family val="3"/>
        <charset val="129"/>
      </rPr>
      <t>사용합니다</t>
    </r>
    <r>
      <rPr>
        <sz val="9"/>
        <color rgb="FF000000"/>
        <rFont val="Calibri"/>
        <family val="2"/>
      </rPr>
      <t>.</t>
    </r>
  </si>
  <si>
    <t>WBS Level is invalid. Enter a number only. Verify row {} of the source file.</t>
  </si>
  <si>
    <t>An error occurred while checking XLGantt cell formats. Please restart XLGantt.</t>
  </si>
  <si>
    <r>
      <rPr>
        <sz val="9"/>
        <color rgb="FF000000"/>
        <rFont val="맑은 고딕"/>
        <family val="3"/>
        <charset val="129"/>
      </rPr>
      <t>일정을</t>
    </r>
    <r>
      <rPr>
        <sz val="9"/>
        <color rgb="FF000000"/>
        <rFont val="Calibri"/>
        <family val="2"/>
      </rPr>
      <t xml:space="preserve"> </t>
    </r>
    <r>
      <rPr>
        <sz val="9"/>
        <color rgb="FF000000"/>
        <rFont val="맑은 고딕"/>
        <family val="3"/>
        <charset val="129"/>
      </rPr>
      <t>관리할</t>
    </r>
    <r>
      <rPr>
        <sz val="9"/>
        <color rgb="FF000000"/>
        <rFont val="Calibri"/>
        <family val="2"/>
      </rPr>
      <t xml:space="preserve"> </t>
    </r>
    <r>
      <rPr>
        <sz val="9"/>
        <color rgb="FF000000"/>
        <rFont val="맑은 고딕"/>
        <family val="3"/>
        <charset val="129"/>
      </rPr>
      <t>때</t>
    </r>
    <r>
      <rPr>
        <sz val="9"/>
        <color rgb="FF000000"/>
        <rFont val="Calibri"/>
        <family val="2"/>
      </rPr>
      <t xml:space="preserve"> </t>
    </r>
    <r>
      <rPr>
        <sz val="9"/>
        <color rgb="FF000000"/>
        <rFont val="맑은 고딕"/>
        <family val="3"/>
        <charset val="129"/>
      </rPr>
      <t>작업</t>
    </r>
    <r>
      <rPr>
        <sz val="9"/>
        <color rgb="FF000000"/>
        <rFont val="Calibri"/>
        <family val="2"/>
      </rPr>
      <t xml:space="preserve"> </t>
    </r>
    <r>
      <rPr>
        <sz val="9"/>
        <color rgb="FF000000"/>
        <rFont val="맑은 고딕"/>
        <family val="3"/>
        <charset val="129"/>
      </rPr>
      <t>시작일</t>
    </r>
    <r>
      <rPr>
        <sz val="9"/>
        <color rgb="FF000000"/>
        <rFont val="Calibri"/>
        <family val="2"/>
      </rPr>
      <t>/</t>
    </r>
    <r>
      <rPr>
        <sz val="9"/>
        <color rgb="FF000000"/>
        <rFont val="맑은 고딕"/>
        <family val="3"/>
        <charset val="129"/>
      </rPr>
      <t>완료일만</t>
    </r>
    <r>
      <rPr>
        <sz val="9"/>
        <color rgb="FF000000"/>
        <rFont val="Calibri"/>
        <family val="2"/>
      </rPr>
      <t xml:space="preserve"> </t>
    </r>
    <r>
      <rPr>
        <sz val="9"/>
        <color rgb="FF000000"/>
        <rFont val="맑은 고딕"/>
        <family val="3"/>
        <charset val="129"/>
      </rPr>
      <t>사용합니다</t>
    </r>
    <r>
      <rPr>
        <sz val="9"/>
        <color rgb="FF000000"/>
        <rFont val="Calibri"/>
        <family val="2"/>
      </rPr>
      <t xml:space="preserve">. </t>
    </r>
    <r>
      <rPr>
        <sz val="9"/>
        <color rgb="FF000000"/>
        <rFont val="맑은 고딕"/>
        <family val="3"/>
        <charset val="129"/>
      </rPr>
      <t>변경된</t>
    </r>
    <r>
      <rPr>
        <sz val="9"/>
        <color rgb="FF000000"/>
        <rFont val="Calibri"/>
        <family val="2"/>
      </rPr>
      <t xml:space="preserve"> </t>
    </r>
    <r>
      <rPr>
        <sz val="9"/>
        <color rgb="FF000000"/>
        <rFont val="맑은 고딕"/>
        <family val="3"/>
        <charset val="129"/>
      </rPr>
      <t>일정은</t>
    </r>
    <r>
      <rPr>
        <sz val="9"/>
        <color rgb="FF000000"/>
        <rFont val="Calibri"/>
        <family val="2"/>
      </rPr>
      <t xml:space="preserve"> </t>
    </r>
    <r>
      <rPr>
        <sz val="9"/>
        <color rgb="FF000000"/>
        <rFont val="맑은 고딕"/>
        <family val="3"/>
        <charset val="129"/>
      </rPr>
      <t>관리하지</t>
    </r>
    <r>
      <rPr>
        <sz val="9"/>
        <color rgb="FF000000"/>
        <rFont val="Calibri"/>
        <family val="2"/>
      </rPr>
      <t xml:space="preserve"> </t>
    </r>
    <r>
      <rPr>
        <sz val="9"/>
        <color rgb="FF000000"/>
        <rFont val="맑은 고딕"/>
        <family val="3"/>
        <charset val="129"/>
      </rPr>
      <t>않습니다</t>
    </r>
    <r>
      <rPr>
        <sz val="9"/>
        <color rgb="FF000000"/>
        <rFont val="Calibri"/>
        <family val="2"/>
      </rPr>
      <t xml:space="preserve">. </t>
    </r>
    <r>
      <rPr>
        <sz val="9"/>
        <color rgb="FF000000"/>
        <rFont val="맑은 고딕"/>
        <family val="3"/>
        <charset val="129"/>
      </rPr>
      <t>일정이</t>
    </r>
    <r>
      <rPr>
        <sz val="9"/>
        <color rgb="FF000000"/>
        <rFont val="Calibri"/>
        <family val="2"/>
      </rPr>
      <t xml:space="preserve"> </t>
    </r>
    <r>
      <rPr>
        <sz val="9"/>
        <color rgb="FF000000"/>
        <rFont val="맑은 고딕"/>
        <family val="3"/>
        <charset val="129"/>
      </rPr>
      <t>변경되었을</t>
    </r>
    <r>
      <rPr>
        <sz val="9"/>
        <color rgb="FF000000"/>
        <rFont val="Calibri"/>
        <family val="2"/>
      </rPr>
      <t xml:space="preserve"> </t>
    </r>
    <r>
      <rPr>
        <sz val="9"/>
        <color rgb="FF000000"/>
        <rFont val="맑은 고딕"/>
        <family val="3"/>
        <charset val="129"/>
      </rPr>
      <t>때는</t>
    </r>
    <r>
      <rPr>
        <sz val="9"/>
        <color rgb="FF000000"/>
        <rFont val="Calibri"/>
        <family val="2"/>
      </rPr>
      <t xml:space="preserve"> </t>
    </r>
    <r>
      <rPr>
        <sz val="9"/>
        <color rgb="FF000000"/>
        <rFont val="맑은 고딕"/>
        <family val="3"/>
        <charset val="129"/>
      </rPr>
      <t>시작일과</t>
    </r>
    <r>
      <rPr>
        <sz val="9"/>
        <color rgb="FF000000"/>
        <rFont val="Calibri"/>
        <family val="2"/>
      </rPr>
      <t xml:space="preserve"> </t>
    </r>
    <r>
      <rPr>
        <sz val="9"/>
        <color rgb="FF000000"/>
        <rFont val="맑은 고딕"/>
        <family val="3"/>
        <charset val="129"/>
      </rPr>
      <t>완료일을</t>
    </r>
    <r>
      <rPr>
        <sz val="9"/>
        <color rgb="FF000000"/>
        <rFont val="Calibri"/>
        <family val="2"/>
      </rPr>
      <t xml:space="preserve"> </t>
    </r>
    <r>
      <rPr>
        <sz val="9"/>
        <color rgb="FF000000"/>
        <rFont val="맑은 고딕"/>
        <family val="3"/>
        <charset val="129"/>
      </rPr>
      <t>변경합니다</t>
    </r>
    <r>
      <rPr>
        <sz val="9"/>
        <color rgb="FF000000"/>
        <rFont val="Calibri"/>
        <family val="2"/>
      </rPr>
      <t xml:space="preserve">.  </t>
    </r>
  </si>
  <si>
    <t>* You need to click the "Progresses by Resources" button to update contents.</t>
  </si>
  <si>
    <t>The kind of period is invalid. You must enter one of the M(Months) or W(Weeks)</t>
  </si>
  <si>
    <t>The actual finish date format of row number {1} in the {2} sheet is invalid.</t>
  </si>
  <si>
    <t>* You need to click the "Workloads by Resources" button to update the contents.</t>
  </si>
  <si>
    <t>The "Actual Total Work" column has been deleted. Please retry after changing the sheet to its previous state.</t>
  </si>
  <si>
    <t>The actual finish date of the row number {1} in the {2} sheet was entered, but the actual start date is empty.</t>
  </si>
  <si>
    <r>
      <t>Source</t>
    </r>
    <r>
      <rPr>
        <sz val="9"/>
        <color rgb="FF000000"/>
        <rFont val="맑은 고딕"/>
        <family val="3"/>
        <charset val="129"/>
      </rPr>
      <t>파일에서</t>
    </r>
    <r>
      <rPr>
        <sz val="9"/>
        <color rgb="FF000000"/>
        <rFont val="Calibri"/>
        <family val="2"/>
      </rPr>
      <t xml:space="preserve"> Target</t>
    </r>
    <r>
      <rPr>
        <sz val="9"/>
        <color rgb="FF000000"/>
        <rFont val="맑은 고딕"/>
        <family val="3"/>
        <charset val="129"/>
      </rPr>
      <t>파일로</t>
    </r>
    <r>
      <rPr>
        <sz val="9"/>
        <color rgb="FF000000"/>
        <rFont val="Calibri"/>
        <family val="2"/>
      </rPr>
      <t xml:space="preserve"> </t>
    </r>
    <r>
      <rPr>
        <sz val="9"/>
        <color rgb="FF000000"/>
        <rFont val="맑은 고딕"/>
        <family val="3"/>
        <charset val="129"/>
      </rPr>
      <t>가져오기</t>
    </r>
    <r>
      <rPr>
        <sz val="9"/>
        <color rgb="FF000000"/>
        <rFont val="Calibri"/>
        <family val="2"/>
      </rPr>
      <t xml:space="preserve"> </t>
    </r>
    <r>
      <rPr>
        <sz val="9"/>
        <color rgb="FF000000"/>
        <rFont val="맑은 고딕"/>
        <family val="3"/>
        <charset val="129"/>
      </rPr>
      <t>위해서</t>
    </r>
    <r>
      <rPr>
        <sz val="9"/>
        <color rgb="FF000000"/>
        <rFont val="Calibri"/>
        <family val="2"/>
      </rPr>
      <t xml:space="preserve"> </t>
    </r>
    <r>
      <rPr>
        <sz val="9"/>
        <color rgb="FF000000"/>
        <rFont val="맑은 고딕"/>
        <family val="3"/>
        <charset val="129"/>
      </rPr>
      <t>각각의</t>
    </r>
    <r>
      <rPr>
        <sz val="9"/>
        <color rgb="FF000000"/>
        <rFont val="Calibri"/>
        <family val="2"/>
      </rPr>
      <t xml:space="preserve"> </t>
    </r>
    <r>
      <rPr>
        <sz val="9"/>
        <color rgb="FF000000"/>
        <rFont val="맑은 고딕"/>
        <family val="3"/>
        <charset val="129"/>
      </rPr>
      <t>필드를</t>
    </r>
    <r>
      <rPr>
        <sz val="9"/>
        <color rgb="FF000000"/>
        <rFont val="Calibri"/>
        <family val="2"/>
      </rPr>
      <t xml:space="preserve"> Mapping</t>
    </r>
    <r>
      <rPr>
        <sz val="9"/>
        <color rgb="FF000000"/>
        <rFont val="맑은 고딕"/>
        <family val="3"/>
        <charset val="129"/>
      </rPr>
      <t>합니다</t>
    </r>
    <r>
      <rPr>
        <sz val="9"/>
        <color rgb="FF000000"/>
        <rFont val="Calibri"/>
        <family val="2"/>
      </rPr>
      <t>. 
Source</t>
    </r>
    <r>
      <rPr>
        <sz val="9"/>
        <color rgb="FF000000"/>
        <rFont val="맑은 고딕"/>
        <family val="3"/>
        <charset val="129"/>
      </rPr>
      <t>파일의</t>
    </r>
    <r>
      <rPr>
        <sz val="9"/>
        <color rgb="FF000000"/>
        <rFont val="Calibri"/>
        <family val="2"/>
      </rPr>
      <t xml:space="preserve"> </t>
    </r>
    <r>
      <rPr>
        <sz val="9"/>
        <color rgb="FF000000"/>
        <rFont val="맑은 고딕"/>
        <family val="3"/>
        <charset val="129"/>
      </rPr>
      <t>필드를</t>
    </r>
    <r>
      <rPr>
        <sz val="9"/>
        <color rgb="FF000000"/>
        <rFont val="Calibri"/>
        <family val="2"/>
      </rPr>
      <t xml:space="preserve"> </t>
    </r>
    <r>
      <rPr>
        <sz val="9"/>
        <color rgb="FF000000"/>
        <rFont val="맑은 고딕"/>
        <family val="3"/>
        <charset val="129"/>
      </rPr>
      <t>먼저</t>
    </r>
    <r>
      <rPr>
        <sz val="9"/>
        <color rgb="FF000000"/>
        <rFont val="Calibri"/>
        <family val="2"/>
      </rPr>
      <t xml:space="preserve"> </t>
    </r>
    <r>
      <rPr>
        <sz val="9"/>
        <color rgb="FF000000"/>
        <rFont val="맑은 고딕"/>
        <family val="3"/>
        <charset val="129"/>
      </rPr>
      <t>선택하고</t>
    </r>
    <r>
      <rPr>
        <sz val="9"/>
        <color rgb="FF000000"/>
        <rFont val="Calibri"/>
        <family val="2"/>
      </rPr>
      <t xml:space="preserve"> </t>
    </r>
    <r>
      <rPr>
        <sz val="9"/>
        <color rgb="FF000000"/>
        <rFont val="맑은 고딕"/>
        <family val="3"/>
        <charset val="129"/>
      </rPr>
      <t>해당되는</t>
    </r>
    <r>
      <rPr>
        <sz val="9"/>
        <color rgb="FF000000"/>
        <rFont val="Calibri"/>
        <family val="2"/>
      </rPr>
      <t xml:space="preserve"> </t>
    </r>
    <r>
      <rPr>
        <sz val="9"/>
        <color rgb="FF000000"/>
        <rFont val="맑은 고딕"/>
        <family val="3"/>
        <charset val="129"/>
      </rPr>
      <t>필드를</t>
    </r>
    <r>
      <rPr>
        <sz val="9"/>
        <color rgb="FF000000"/>
        <rFont val="Calibri"/>
        <family val="2"/>
      </rPr>
      <t xml:space="preserve"> Targe</t>
    </r>
    <r>
      <rPr>
        <sz val="9"/>
        <color rgb="FF000000"/>
        <rFont val="맑은 고딕"/>
        <family val="3"/>
        <charset val="129"/>
      </rPr>
      <t>파일에서</t>
    </r>
    <r>
      <rPr>
        <sz val="9"/>
        <color rgb="FF000000"/>
        <rFont val="Calibri"/>
        <family val="2"/>
      </rPr>
      <t xml:space="preserve"> </t>
    </r>
    <r>
      <rPr>
        <sz val="9"/>
        <color rgb="FF000000"/>
        <rFont val="맑은 고딕"/>
        <family val="3"/>
        <charset val="129"/>
      </rPr>
      <t>찾아서</t>
    </r>
    <r>
      <rPr>
        <sz val="9"/>
        <color rgb="FF000000"/>
        <rFont val="Calibri"/>
        <family val="2"/>
      </rPr>
      <t xml:space="preserve"> Mapping</t>
    </r>
    <r>
      <rPr>
        <sz val="9"/>
        <color rgb="FF000000"/>
        <rFont val="맑은 고딕"/>
        <family val="3"/>
        <charset val="129"/>
      </rPr>
      <t>합니다</t>
    </r>
    <r>
      <rPr>
        <sz val="9"/>
        <color rgb="FF000000"/>
        <rFont val="Calibri"/>
        <family val="2"/>
      </rPr>
      <t>.</t>
    </r>
  </si>
  <si>
    <r>
      <rPr>
        <sz val="10"/>
        <color rgb="FF000000"/>
        <rFont val="돋움"/>
        <family val="3"/>
        <charset val="129"/>
      </rPr>
      <t>언어설정이</t>
    </r>
    <r>
      <rPr>
        <sz val="10"/>
        <color rgb="FF000000"/>
        <rFont val="Calibri"/>
        <family val="2"/>
      </rPr>
      <t xml:space="preserve"> </t>
    </r>
    <r>
      <rPr>
        <sz val="10"/>
        <color rgb="FF000000"/>
        <rFont val="돋움"/>
        <family val="3"/>
        <charset val="129"/>
      </rPr>
      <t>변경되었습니다</t>
    </r>
    <r>
      <rPr>
        <sz val="10"/>
        <color rgb="FF000000"/>
        <rFont val="Calibri"/>
        <family val="2"/>
      </rPr>
      <t>.\n</t>
    </r>
    <r>
      <rPr>
        <sz val="10"/>
        <color rgb="FF000000"/>
        <rFont val="돋움"/>
        <family val="3"/>
        <charset val="129"/>
      </rPr>
      <t>확인버튼을</t>
    </r>
    <r>
      <rPr>
        <sz val="10"/>
        <color rgb="FF000000"/>
        <rFont val="Calibri"/>
        <family val="2"/>
      </rPr>
      <t xml:space="preserve"> </t>
    </r>
    <r>
      <rPr>
        <sz val="10"/>
        <color rgb="FF000000"/>
        <rFont val="돋움"/>
        <family val="3"/>
        <charset val="129"/>
      </rPr>
      <t>누르면</t>
    </r>
    <r>
      <rPr>
        <sz val="10"/>
        <color rgb="FF000000"/>
        <rFont val="Calibri"/>
        <family val="2"/>
      </rPr>
      <t xml:space="preserve"> </t>
    </r>
    <r>
      <rPr>
        <sz val="10"/>
        <color rgb="FF000000"/>
        <rFont val="돋움"/>
        <family val="3"/>
        <charset val="129"/>
      </rPr>
      <t>번역을</t>
    </r>
    <r>
      <rPr>
        <sz val="10"/>
        <color rgb="FF000000"/>
        <rFont val="Calibri"/>
        <family val="2"/>
      </rPr>
      <t xml:space="preserve"> </t>
    </r>
    <r>
      <rPr>
        <sz val="10"/>
        <color rgb="FF000000"/>
        <rFont val="돋움"/>
        <family val="3"/>
        <charset val="129"/>
      </rPr>
      <t>시작합니다</t>
    </r>
    <r>
      <rPr>
        <sz val="10"/>
        <color rgb="FF000000"/>
        <rFont val="Calibri"/>
        <family val="2"/>
      </rPr>
      <t xml:space="preserve">. </t>
    </r>
    <r>
      <rPr>
        <sz val="10"/>
        <color rgb="FF000000"/>
        <rFont val="돋움"/>
        <family val="3"/>
        <charset val="129"/>
      </rPr>
      <t>번역은</t>
    </r>
    <r>
      <rPr>
        <sz val="10"/>
        <color rgb="FF000000"/>
        <rFont val="Calibri"/>
        <family val="2"/>
      </rPr>
      <t xml:space="preserve"> </t>
    </r>
    <r>
      <rPr>
        <sz val="10"/>
        <color rgb="FF000000"/>
        <rFont val="돋움"/>
        <family val="3"/>
        <charset val="129"/>
      </rPr>
      <t>시간이</t>
    </r>
    <r>
      <rPr>
        <sz val="10"/>
        <color rgb="FF000000"/>
        <rFont val="Calibri"/>
        <family val="2"/>
      </rPr>
      <t xml:space="preserve"> </t>
    </r>
    <r>
      <rPr>
        <sz val="10"/>
        <color rgb="FF000000"/>
        <rFont val="돋움"/>
        <family val="3"/>
        <charset val="129"/>
      </rPr>
      <t>걸릴</t>
    </r>
    <r>
      <rPr>
        <sz val="10"/>
        <color rgb="FF000000"/>
        <rFont val="Calibri"/>
        <family val="2"/>
      </rPr>
      <t xml:space="preserve"> </t>
    </r>
    <r>
      <rPr>
        <sz val="10"/>
        <color rgb="FF000000"/>
        <rFont val="돋움"/>
        <family val="3"/>
        <charset val="129"/>
      </rPr>
      <t>수</t>
    </r>
    <r>
      <rPr>
        <sz val="10"/>
        <color rgb="FF000000"/>
        <rFont val="Calibri"/>
        <family val="2"/>
      </rPr>
      <t xml:space="preserve"> </t>
    </r>
    <r>
      <rPr>
        <sz val="10"/>
        <color rgb="FF000000"/>
        <rFont val="돋움"/>
        <family val="3"/>
        <charset val="129"/>
      </rPr>
      <t>있습니다</t>
    </r>
    <r>
      <rPr>
        <sz val="10"/>
        <color rgb="FF000000"/>
        <rFont val="Calibri"/>
        <family val="2"/>
      </rPr>
      <t>. \n</t>
    </r>
    <r>
      <rPr>
        <sz val="10"/>
        <color rgb="FF000000"/>
        <rFont val="돋움"/>
        <family val="3"/>
        <charset val="129"/>
      </rPr>
      <t>리본메뉴</t>
    </r>
    <r>
      <rPr>
        <sz val="10"/>
        <color rgb="FF000000"/>
        <rFont val="Calibri"/>
        <family val="2"/>
      </rPr>
      <t xml:space="preserve">, </t>
    </r>
    <r>
      <rPr>
        <sz val="10"/>
        <color rgb="FF000000"/>
        <rFont val="돋움"/>
        <family val="3"/>
        <charset val="129"/>
      </rPr>
      <t>팝업메뉴의</t>
    </r>
    <r>
      <rPr>
        <sz val="10"/>
        <color rgb="FF000000"/>
        <rFont val="Calibri"/>
        <family val="2"/>
      </rPr>
      <t xml:space="preserve"> </t>
    </r>
    <r>
      <rPr>
        <sz val="10"/>
        <color rgb="FF000000"/>
        <rFont val="돋움"/>
        <family val="3"/>
        <charset val="129"/>
      </rPr>
      <t>언어는</t>
    </r>
    <r>
      <rPr>
        <sz val="10"/>
        <color rgb="FF000000"/>
        <rFont val="Calibri"/>
        <family val="2"/>
      </rPr>
      <t xml:space="preserve"> </t>
    </r>
    <r>
      <rPr>
        <sz val="10"/>
        <color rgb="FF000000"/>
        <rFont val="돋움"/>
        <family val="3"/>
        <charset val="129"/>
      </rPr>
      <t>이</t>
    </r>
    <r>
      <rPr>
        <sz val="10"/>
        <color rgb="FF000000"/>
        <rFont val="Calibri"/>
        <family val="2"/>
      </rPr>
      <t xml:space="preserve"> XLGantt</t>
    </r>
    <r>
      <rPr>
        <sz val="10"/>
        <color rgb="FF000000"/>
        <rFont val="돋움"/>
        <family val="3"/>
        <charset val="129"/>
      </rPr>
      <t>파일을</t>
    </r>
    <r>
      <rPr>
        <sz val="10"/>
        <color rgb="FF000000"/>
        <rFont val="Calibri"/>
        <family val="2"/>
      </rPr>
      <t xml:space="preserve"> </t>
    </r>
    <r>
      <rPr>
        <sz val="10"/>
        <color rgb="FF000000"/>
        <rFont val="돋움"/>
        <family val="3"/>
        <charset val="129"/>
      </rPr>
      <t>닫은</t>
    </r>
    <r>
      <rPr>
        <sz val="10"/>
        <color rgb="FF000000"/>
        <rFont val="Calibri"/>
        <family val="2"/>
      </rPr>
      <t xml:space="preserve"> </t>
    </r>
    <r>
      <rPr>
        <sz val="10"/>
        <color rgb="FF000000"/>
        <rFont val="돋움"/>
        <family val="3"/>
        <charset val="129"/>
      </rPr>
      <t>후</t>
    </r>
    <r>
      <rPr>
        <sz val="10"/>
        <color rgb="FF000000"/>
        <rFont val="Calibri"/>
        <family val="2"/>
      </rPr>
      <t xml:space="preserve"> </t>
    </r>
    <r>
      <rPr>
        <sz val="10"/>
        <color rgb="FF000000"/>
        <rFont val="돋움"/>
        <family val="3"/>
        <charset val="129"/>
      </rPr>
      <t>새로</t>
    </r>
    <r>
      <rPr>
        <sz val="10"/>
        <color rgb="FF000000"/>
        <rFont val="Calibri"/>
        <family val="2"/>
      </rPr>
      <t xml:space="preserve"> </t>
    </r>
    <r>
      <rPr>
        <sz val="10"/>
        <color rgb="FF000000"/>
        <rFont val="돋움"/>
        <family val="3"/>
        <charset val="129"/>
      </rPr>
      <t>열어야</t>
    </r>
    <r>
      <rPr>
        <sz val="10"/>
        <color rgb="FF000000"/>
        <rFont val="Calibri"/>
        <family val="2"/>
      </rPr>
      <t xml:space="preserve"> </t>
    </r>
    <r>
      <rPr>
        <sz val="10"/>
        <color rgb="FF000000"/>
        <rFont val="돋움"/>
        <family val="3"/>
        <charset val="129"/>
      </rPr>
      <t>번역이</t>
    </r>
    <r>
      <rPr>
        <sz val="10"/>
        <color rgb="FF000000"/>
        <rFont val="Calibri"/>
        <family val="2"/>
      </rPr>
      <t xml:space="preserve"> </t>
    </r>
    <r>
      <rPr>
        <sz val="10"/>
        <color rgb="FF000000"/>
        <rFont val="돋움"/>
        <family val="3"/>
        <charset val="129"/>
      </rPr>
      <t>적용됩니다</t>
    </r>
    <r>
      <rPr>
        <sz val="10"/>
        <color rgb="FF000000"/>
        <rFont val="Calibri"/>
        <family val="2"/>
      </rPr>
      <t>.</t>
    </r>
  </si>
  <si>
    <t>The "Planned Duration" column has been deleted. Please retry after changing the sheet to its previous state.</t>
  </si>
  <si>
    <t>The first column of Gantt area has been deleted. Please retry after changing the sheet to its previous state.</t>
  </si>
  <si>
    <t xml:space="preserve">Set path by the task name automatically\n(in this case, specify the upper path of automatically assigned path) </t>
  </si>
  <si>
    <t>The "Actual Finish Date" column has been deleted. Please retry after changing the sheet to its previous state.</t>
  </si>
  <si>
    <t>The "Actual Start Date" column has been deleted. Please retry after changing the sheet to its previous state.</t>
  </si>
  <si>
    <r>
      <rPr>
        <sz val="9"/>
        <color rgb="FF000000"/>
        <rFont val="맑은 고딕"/>
        <family val="3"/>
        <charset val="129"/>
      </rPr>
      <t>엑셀매크로</t>
    </r>
    <r>
      <rPr>
        <sz val="9"/>
        <color rgb="FF000000"/>
        <rFont val="Calibri"/>
        <family val="2"/>
      </rPr>
      <t xml:space="preserve"> </t>
    </r>
    <r>
      <rPr>
        <sz val="9"/>
        <color rgb="FF000000"/>
        <rFont val="맑은 고딕"/>
        <family val="3"/>
        <charset val="129"/>
      </rPr>
      <t>파일은</t>
    </r>
    <r>
      <rPr>
        <sz val="9"/>
        <color rgb="FF000000"/>
        <rFont val="Calibri"/>
        <family val="2"/>
      </rPr>
      <t xml:space="preserve"> </t>
    </r>
    <r>
      <rPr>
        <sz val="9"/>
        <color rgb="FF000000"/>
        <rFont val="맑은 고딕"/>
        <family val="3"/>
        <charset val="129"/>
      </rPr>
      <t>가져오기를</t>
    </r>
    <r>
      <rPr>
        <sz val="9"/>
        <color rgb="FF000000"/>
        <rFont val="Calibri"/>
        <family val="2"/>
      </rPr>
      <t xml:space="preserve"> </t>
    </r>
    <r>
      <rPr>
        <sz val="9"/>
        <color rgb="FF000000"/>
        <rFont val="맑은 고딕"/>
        <family val="3"/>
        <charset val="129"/>
      </rPr>
      <t>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 xml:space="preserve">. xls </t>
    </r>
    <r>
      <rPr>
        <sz val="9"/>
        <color rgb="FF000000"/>
        <rFont val="맑은 고딕"/>
        <family val="3"/>
        <charset val="129"/>
      </rPr>
      <t>또는</t>
    </r>
    <r>
      <rPr>
        <sz val="9"/>
        <color rgb="FF000000"/>
        <rFont val="Calibri"/>
        <family val="2"/>
      </rPr>
      <t xml:space="preserve"> xlsx</t>
    </r>
    <r>
      <rPr>
        <sz val="9"/>
        <color rgb="FF000000"/>
        <rFont val="맑은 고딕"/>
        <family val="3"/>
        <charset val="129"/>
      </rPr>
      <t>파일로</t>
    </r>
    <r>
      <rPr>
        <sz val="9"/>
        <color rgb="FF000000"/>
        <rFont val="Calibri"/>
        <family val="2"/>
      </rPr>
      <t xml:space="preserve"> </t>
    </r>
    <r>
      <rPr>
        <sz val="9"/>
        <color rgb="FF000000"/>
        <rFont val="맑은 고딕"/>
        <family val="3"/>
        <charset val="129"/>
      </rPr>
      <t>저장하여</t>
    </r>
    <r>
      <rPr>
        <sz val="9"/>
        <color rgb="FF000000"/>
        <rFont val="Calibri"/>
        <family val="2"/>
      </rPr>
      <t xml:space="preserve"> </t>
    </r>
    <r>
      <rPr>
        <sz val="9"/>
        <color rgb="FF000000"/>
        <rFont val="맑은 고딕"/>
        <family val="3"/>
        <charset val="129"/>
      </rPr>
      <t>작업하시기</t>
    </r>
    <r>
      <rPr>
        <sz val="9"/>
        <color rgb="FF000000"/>
        <rFont val="Calibri"/>
        <family val="2"/>
      </rPr>
      <t xml:space="preserve"> </t>
    </r>
    <r>
      <rPr>
        <sz val="9"/>
        <color rgb="FF000000"/>
        <rFont val="맑은 고딕"/>
        <family val="3"/>
        <charset val="129"/>
      </rPr>
      <t>바랍니다</t>
    </r>
    <r>
      <rPr>
        <sz val="9"/>
        <color rgb="FF000000"/>
        <rFont val="Calibri"/>
        <family val="2"/>
      </rPr>
      <t xml:space="preserve">. </t>
    </r>
    <r>
      <rPr>
        <sz val="9"/>
        <color rgb="FF000000"/>
        <rFont val="맑은 고딕"/>
        <family val="3"/>
        <charset val="129"/>
      </rPr>
      <t>만약</t>
    </r>
    <r>
      <rPr>
        <sz val="9"/>
        <color rgb="FF000000"/>
        <rFont val="Calibri"/>
        <family val="2"/>
      </rPr>
      <t xml:space="preserve"> XLGantt</t>
    </r>
    <r>
      <rPr>
        <sz val="9"/>
        <color rgb="FF000000"/>
        <rFont val="맑은 고딕"/>
        <family val="3"/>
        <charset val="129"/>
      </rPr>
      <t>파일인</t>
    </r>
    <r>
      <rPr>
        <sz val="9"/>
        <color rgb="FF000000"/>
        <rFont val="Calibri"/>
        <family val="2"/>
      </rPr>
      <t xml:space="preserve"> </t>
    </r>
    <r>
      <rPr>
        <sz val="9"/>
        <color rgb="FF000000"/>
        <rFont val="맑은 고딕"/>
        <family val="3"/>
        <charset val="129"/>
      </rPr>
      <t>경우에는</t>
    </r>
    <r>
      <rPr>
        <sz val="9"/>
        <color rgb="FF000000"/>
        <rFont val="Calibri"/>
        <family val="2"/>
      </rPr>
      <t xml:space="preserve"> "XLGantt</t>
    </r>
    <r>
      <rPr>
        <sz val="9"/>
        <color rgb="FF000000"/>
        <rFont val="맑은 고딕"/>
        <family val="3"/>
        <charset val="129"/>
      </rPr>
      <t>로</t>
    </r>
    <r>
      <rPr>
        <sz val="9"/>
        <color rgb="FF000000"/>
        <rFont val="Calibri"/>
        <family val="2"/>
      </rPr>
      <t xml:space="preserve"> </t>
    </r>
    <r>
      <rPr>
        <sz val="9"/>
        <color rgb="FF000000"/>
        <rFont val="맑은 고딕"/>
        <family val="3"/>
        <charset val="129"/>
      </rPr>
      <t>작성된</t>
    </r>
    <r>
      <rPr>
        <sz val="9"/>
        <color rgb="FF000000"/>
        <rFont val="Calibri"/>
        <family val="2"/>
      </rPr>
      <t xml:space="preserve"> </t>
    </r>
    <r>
      <rPr>
        <sz val="9"/>
        <color rgb="FF000000"/>
        <rFont val="맑은 고딕"/>
        <family val="3"/>
        <charset val="129"/>
      </rPr>
      <t>파일</t>
    </r>
    <r>
      <rPr>
        <sz val="9"/>
        <color rgb="FF000000"/>
        <rFont val="Calibri"/>
        <family val="2"/>
      </rPr>
      <t xml:space="preserve"> </t>
    </r>
    <r>
      <rPr>
        <sz val="9"/>
        <color rgb="FF000000"/>
        <rFont val="맑은 고딕"/>
        <family val="3"/>
        <charset val="129"/>
      </rPr>
      <t>가져오기</t>
    </r>
    <r>
      <rPr>
        <sz val="9"/>
        <color rgb="FF000000"/>
        <rFont val="Calibri"/>
        <family val="2"/>
      </rPr>
      <t>"</t>
    </r>
    <r>
      <rPr>
        <sz val="9"/>
        <color rgb="FF000000"/>
        <rFont val="맑은 고딕"/>
        <family val="3"/>
        <charset val="129"/>
      </rPr>
      <t>에서</t>
    </r>
    <r>
      <rPr>
        <sz val="9"/>
        <color rgb="FF000000"/>
        <rFont val="Calibri"/>
        <family val="2"/>
      </rPr>
      <t xml:space="preserve"> </t>
    </r>
    <r>
      <rPr>
        <sz val="9"/>
        <color rgb="FF000000"/>
        <rFont val="맑은 고딕"/>
        <family val="3"/>
        <charset val="129"/>
      </rPr>
      <t>작업</t>
    </r>
    <r>
      <rPr>
        <sz val="9"/>
        <color rgb="FF000000"/>
        <rFont val="Calibri"/>
        <family val="2"/>
      </rPr>
      <t xml:space="preserve"> </t>
    </r>
    <r>
      <rPr>
        <sz val="9"/>
        <color rgb="FF000000"/>
        <rFont val="맑은 고딕"/>
        <family val="3"/>
        <charset val="129"/>
      </rPr>
      <t>가능합니다</t>
    </r>
  </si>
  <si>
    <t>The actual start date of row number {1} in the {2} sheet is out of the project duration.</t>
  </si>
  <si>
    <t>The start or finish date of row number {1} in the {2} sheet is out of the project duration.</t>
  </si>
  <si>
    <t>You can not add a column between column A and C because the range is reserved by XLGantt.</t>
  </si>
  <si>
    <t>It recalculates duration and % Work Complete. Clicking the Save button will be the same.</t>
  </si>
  <si>
    <r>
      <t>총</t>
    </r>
    <r>
      <rPr>
        <sz val="10"/>
        <color rgb="FF000000"/>
        <rFont val="Calibri"/>
        <family val="2"/>
      </rPr>
      <t>\n</t>
    </r>
    <r>
      <rPr>
        <sz val="10"/>
        <color rgb="FF000000"/>
        <rFont val="돋움"/>
        <family val="3"/>
        <charset val="129"/>
      </rPr>
      <t>기간</t>
    </r>
  </si>
  <si>
    <r>
      <t xml:space="preserve">&lt;&lt; </t>
    </r>
    <r>
      <rPr>
        <sz val="9"/>
        <color rgb="FF000000"/>
        <rFont val="맑은 고딕"/>
        <family val="3"/>
        <charset val="129"/>
      </rPr>
      <t>제거</t>
    </r>
  </si>
  <si>
    <r>
      <t>실제</t>
    </r>
    <r>
      <rPr>
        <sz val="10"/>
        <color rgb="FF000000"/>
        <rFont val="Calibri"/>
        <family val="2"/>
      </rPr>
      <t>\n</t>
    </r>
    <r>
      <rPr>
        <sz val="10"/>
        <color rgb="FF000000"/>
        <rFont val="돋움"/>
        <family val="3"/>
        <charset val="129"/>
      </rPr>
      <t>총기간</t>
    </r>
  </si>
  <si>
    <r>
      <t>계획</t>
    </r>
    <r>
      <rPr>
        <sz val="10"/>
        <color rgb="FF000000"/>
        <rFont val="Calibri"/>
        <family val="2"/>
      </rPr>
      <t>\n</t>
    </r>
    <r>
      <rPr>
        <sz val="10"/>
        <color rgb="FF000000"/>
        <rFont val="돋움"/>
        <family val="3"/>
        <charset val="129"/>
      </rPr>
      <t>기간</t>
    </r>
  </si>
  <si>
    <t>서버</t>
  </si>
  <si>
    <r>
      <rPr>
        <sz val="9"/>
        <color rgb="FF000000"/>
        <rFont val="맑은 고딕"/>
        <family val="3"/>
        <charset val="129"/>
      </rPr>
      <t>작업명으로</t>
    </r>
    <r>
      <rPr>
        <sz val="9"/>
        <color rgb="FF000000"/>
        <rFont val="Calibri"/>
        <family val="2"/>
      </rPr>
      <t xml:space="preserve"> </t>
    </r>
    <r>
      <rPr>
        <sz val="9"/>
        <color rgb="FF000000"/>
        <rFont val="맑은 고딕"/>
        <family val="3"/>
        <charset val="129"/>
      </rPr>
      <t>하위</t>
    </r>
    <r>
      <rPr>
        <sz val="9"/>
        <color rgb="FF000000"/>
        <rFont val="Calibri"/>
        <family val="2"/>
      </rPr>
      <t xml:space="preserve"> </t>
    </r>
    <r>
      <rPr>
        <sz val="9"/>
        <color rgb="FF000000"/>
        <rFont val="맑은 고딕"/>
        <family val="3"/>
        <charset val="129"/>
      </rPr>
      <t>경로</t>
    </r>
    <r>
      <rPr>
        <sz val="9"/>
        <color rgb="FF000000"/>
        <rFont val="Calibri"/>
        <family val="2"/>
      </rPr>
      <t xml:space="preserve"> </t>
    </r>
    <r>
      <rPr>
        <sz val="9"/>
        <color rgb="FF000000"/>
        <rFont val="맑은 고딕"/>
        <family val="3"/>
        <charset val="129"/>
      </rPr>
      <t>자동지정을</t>
    </r>
    <r>
      <rPr>
        <sz val="9"/>
        <color rgb="FF000000"/>
        <rFont val="Calibri"/>
        <family val="2"/>
      </rPr>
      <t xml:space="preserve"> </t>
    </r>
    <r>
      <rPr>
        <sz val="9"/>
        <color rgb="FF000000"/>
        <rFont val="맑은 고딕"/>
        <family val="3"/>
        <charset val="129"/>
      </rPr>
      <t>선택한</t>
    </r>
    <r>
      <rPr>
        <sz val="9"/>
        <color rgb="FF000000"/>
        <rFont val="Calibri"/>
        <family val="2"/>
      </rPr>
      <t xml:space="preserve"> </t>
    </r>
    <r>
      <rPr>
        <sz val="9"/>
        <color rgb="FF000000"/>
        <rFont val="맑은 고딕"/>
        <family val="3"/>
        <charset val="129"/>
      </rPr>
      <t>경우에는</t>
    </r>
    <r>
      <rPr>
        <sz val="9"/>
        <color rgb="FF000000"/>
        <rFont val="Calibri"/>
        <family val="2"/>
      </rPr>
      <t xml:space="preserve"> </t>
    </r>
    <r>
      <rPr>
        <sz val="9"/>
        <color rgb="FF000000"/>
        <rFont val="맑은 고딕"/>
        <family val="3"/>
        <charset val="129"/>
      </rPr>
      <t>상위의</t>
    </r>
    <r>
      <rPr>
        <sz val="9"/>
        <color rgb="FF000000"/>
        <rFont val="Calibri"/>
        <family val="2"/>
      </rPr>
      <t xml:space="preserve"> </t>
    </r>
    <r>
      <rPr>
        <sz val="9"/>
        <color rgb="FF000000"/>
        <rFont val="맑은 고딕"/>
        <family val="3"/>
        <charset val="129"/>
      </rPr>
      <t>기본경로를</t>
    </r>
    <r>
      <rPr>
        <sz val="9"/>
        <color rgb="FF000000"/>
        <rFont val="Calibri"/>
        <family val="2"/>
      </rPr>
      <t xml:space="preserve"> </t>
    </r>
    <r>
      <rPr>
        <sz val="9"/>
        <color rgb="FF000000"/>
        <rFont val="맑은 고딕"/>
        <family val="3"/>
        <charset val="129"/>
      </rPr>
      <t>설정해야</t>
    </r>
    <r>
      <rPr>
        <sz val="9"/>
        <color rgb="FF000000"/>
        <rFont val="Calibri"/>
        <family val="2"/>
      </rPr>
      <t xml:space="preserve"> </t>
    </r>
    <r>
      <rPr>
        <sz val="9"/>
        <color rgb="FF000000"/>
        <rFont val="맑은 고딕"/>
        <family val="3"/>
        <charset val="129"/>
      </rPr>
      <t>합니다</t>
    </r>
    <r>
      <rPr>
        <sz val="9"/>
        <color rgb="FF000000"/>
        <rFont val="Calibri"/>
        <family val="2"/>
      </rPr>
      <t>.</t>
    </r>
  </si>
  <si>
    <t xml:space="preserve">Import success!\nTotal rows of imported data : </t>
  </si>
  <si>
    <t>현재날짜까지 계획된 진척율, WBS의 "계획진척율"의 전체 합계 진척율을 표시함</t>
  </si>
  <si>
    <t>Planned %Work Complete calculation base date</t>
  </si>
  <si>
    <r>
      <rPr>
        <sz val="9"/>
        <color rgb="FF000000"/>
        <rFont val="맑은 고딕"/>
        <family val="3"/>
        <charset val="129"/>
      </rPr>
      <t>각</t>
    </r>
    <r>
      <rPr>
        <sz val="9"/>
        <color rgb="FF000000"/>
        <rFont val="Calibri"/>
        <family val="2"/>
      </rPr>
      <t xml:space="preserve"> </t>
    </r>
    <r>
      <rPr>
        <sz val="9"/>
        <color rgb="FF000000"/>
        <rFont val="맑은 고딕"/>
        <family val="3"/>
        <charset val="129"/>
      </rPr>
      <t>작업의</t>
    </r>
    <r>
      <rPr>
        <sz val="9"/>
        <color rgb="FF000000"/>
        <rFont val="Calibri"/>
        <family val="2"/>
      </rPr>
      <t xml:space="preserve"> </t>
    </r>
    <r>
      <rPr>
        <sz val="9"/>
        <color rgb="FF000000"/>
        <rFont val="맑은 고딕"/>
        <family val="3"/>
        <charset val="129"/>
      </rPr>
      <t>실제완료일</t>
    </r>
    <r>
      <rPr>
        <sz val="9"/>
        <color rgb="FF000000"/>
        <rFont val="Calibri"/>
        <family val="2"/>
      </rPr>
      <t>(</t>
    </r>
    <r>
      <rPr>
        <sz val="9"/>
        <color rgb="FF000000"/>
        <rFont val="맑은 고딕"/>
        <family val="3"/>
        <charset val="129"/>
      </rPr>
      <t>또는</t>
    </r>
    <r>
      <rPr>
        <sz val="9"/>
        <color rgb="FF000000"/>
        <rFont val="Calibri"/>
        <family val="2"/>
      </rPr>
      <t xml:space="preserve"> </t>
    </r>
    <r>
      <rPr>
        <sz val="9"/>
        <color rgb="FF000000"/>
        <rFont val="맑은 고딕"/>
        <family val="3"/>
        <charset val="129"/>
      </rPr>
      <t>실제종료일</t>
    </r>
    <r>
      <rPr>
        <sz val="9"/>
        <color rgb="FF000000"/>
        <rFont val="Calibri"/>
        <family val="2"/>
      </rPr>
      <t>)</t>
    </r>
    <r>
      <rPr>
        <sz val="9"/>
        <color rgb="FF000000"/>
        <rFont val="맑은 고딕"/>
        <family val="3"/>
        <charset val="129"/>
      </rPr>
      <t>을</t>
    </r>
    <r>
      <rPr>
        <sz val="9"/>
        <color rgb="FF000000"/>
        <rFont val="Calibri"/>
        <family val="2"/>
      </rPr>
      <t xml:space="preserve"> </t>
    </r>
    <r>
      <rPr>
        <sz val="9"/>
        <color rgb="FF000000"/>
        <rFont val="맑은 고딕"/>
        <family val="3"/>
        <charset val="129"/>
      </rPr>
      <t>표시합니다</t>
    </r>
    <r>
      <rPr>
        <sz val="9"/>
        <color rgb="FF000000"/>
        <rFont val="Calibri"/>
        <family val="2"/>
      </rPr>
      <t xml:space="preserve">. </t>
    </r>
    <r>
      <rPr>
        <sz val="9"/>
        <color rgb="FF000000"/>
        <rFont val="맑은 고딕"/>
        <family val="3"/>
        <charset val="129"/>
      </rPr>
      <t>반드시</t>
    </r>
    <r>
      <rPr>
        <sz val="9"/>
        <color rgb="FF000000"/>
        <rFont val="Calibri"/>
        <family val="2"/>
      </rPr>
      <t xml:space="preserve"> </t>
    </r>
    <r>
      <rPr>
        <sz val="9"/>
        <color rgb="FF000000"/>
        <rFont val="맑은 고딕"/>
        <family val="3"/>
        <charset val="129"/>
      </rPr>
      <t>날짜</t>
    </r>
    <r>
      <rPr>
        <sz val="9"/>
        <color rgb="FF000000"/>
        <rFont val="Calibri"/>
        <family val="2"/>
      </rPr>
      <t xml:space="preserve"> </t>
    </r>
    <r>
      <rPr>
        <sz val="9"/>
        <color rgb="FF000000"/>
        <rFont val="맑은 고딕"/>
        <family val="3"/>
        <charset val="129"/>
      </rPr>
      <t>형식이어야</t>
    </r>
    <r>
      <rPr>
        <sz val="9"/>
        <color rgb="FF000000"/>
        <rFont val="Calibri"/>
        <family val="2"/>
      </rPr>
      <t xml:space="preserve"> </t>
    </r>
    <r>
      <rPr>
        <sz val="9"/>
        <color rgb="FF000000"/>
        <rFont val="맑은 고딕"/>
        <family val="3"/>
        <charset val="129"/>
      </rPr>
      <t>합니다</t>
    </r>
    <r>
      <rPr>
        <sz val="9"/>
        <color rgb="FF000000"/>
        <rFont val="Calibri"/>
        <family val="2"/>
      </rPr>
      <t>.</t>
    </r>
  </si>
  <si>
    <t>The start date is later than the finish date.</t>
  </si>
  <si>
    <t>You can open deliverables only on the {} Sheet.</t>
  </si>
  <si>
    <t>Only the dates entered in the Calendar sheet</t>
  </si>
  <si>
    <t>Days (Average number of working days per month)</t>
  </si>
  <si>
    <t>작업자, 관리자 
Use case
사용자가 버튼을 눌렀을 때 구현되는 
기능 정리</t>
  </si>
  <si>
    <t>The number of Level must be positive integer.</t>
  </si>
  <si>
    <t>You can not indent or outdent the selected row.</t>
  </si>
  <si>
    <t>There is no input data that will be calculated.</t>
  </si>
  <si>
    <r>
      <rPr>
        <sz val="9"/>
        <color rgb="FF000000"/>
        <rFont val="맑은 고딕"/>
        <family val="3"/>
        <charset val="129"/>
      </rPr>
      <t>현재날짜까지</t>
    </r>
    <r>
      <rPr>
        <sz val="9"/>
        <color rgb="FF000000"/>
        <rFont val="Calibri"/>
        <family val="2"/>
      </rPr>
      <t xml:space="preserve"> </t>
    </r>
    <r>
      <rPr>
        <sz val="9"/>
        <color rgb="FF000000"/>
        <rFont val="맑은 고딕"/>
        <family val="3"/>
        <charset val="129"/>
      </rPr>
      <t>계획된</t>
    </r>
    <r>
      <rPr>
        <sz val="9"/>
        <color rgb="FF000000"/>
        <rFont val="Calibri"/>
        <family val="2"/>
      </rPr>
      <t xml:space="preserve"> </t>
    </r>
    <r>
      <rPr>
        <sz val="9"/>
        <color rgb="FF000000"/>
        <rFont val="맑은 고딕"/>
        <family val="3"/>
        <charset val="129"/>
      </rPr>
      <t>진척율</t>
    </r>
    <r>
      <rPr>
        <sz val="9"/>
        <color rgb="FF000000"/>
        <rFont val="Calibri"/>
        <family val="2"/>
      </rPr>
      <t>, WBS</t>
    </r>
    <r>
      <rPr>
        <sz val="9"/>
        <color rgb="FF000000"/>
        <rFont val="맑은 고딕"/>
        <family val="3"/>
        <charset val="129"/>
      </rPr>
      <t>의</t>
    </r>
    <r>
      <rPr>
        <sz val="9"/>
        <color rgb="FF000000"/>
        <rFont val="Calibri"/>
        <family val="2"/>
      </rPr>
      <t xml:space="preserve"> "</t>
    </r>
    <r>
      <rPr>
        <sz val="9"/>
        <color rgb="FF000000"/>
        <rFont val="맑은 고딕"/>
        <family val="3"/>
        <charset val="129"/>
      </rPr>
      <t>계획진척율</t>
    </r>
    <r>
      <rPr>
        <sz val="9"/>
        <color rgb="FF000000"/>
        <rFont val="Calibri"/>
        <family val="2"/>
      </rPr>
      <t>"</t>
    </r>
    <r>
      <rPr>
        <sz val="9"/>
        <color rgb="FF000000"/>
        <rFont val="맑은 고딕"/>
        <family val="3"/>
        <charset val="129"/>
      </rPr>
      <t>의</t>
    </r>
    <r>
      <rPr>
        <sz val="9"/>
        <color rgb="FF000000"/>
        <rFont val="Calibri"/>
        <family val="2"/>
      </rPr>
      <t xml:space="preserve"> </t>
    </r>
    <r>
      <rPr>
        <sz val="9"/>
        <color rgb="FF000000"/>
        <rFont val="맑은 고딕"/>
        <family val="3"/>
        <charset val="129"/>
      </rPr>
      <t>전체</t>
    </r>
    <r>
      <rPr>
        <sz val="9"/>
        <color rgb="FF000000"/>
        <rFont val="Calibri"/>
        <family val="2"/>
      </rPr>
      <t xml:space="preserve"> </t>
    </r>
    <r>
      <rPr>
        <sz val="9"/>
        <color rgb="FF000000"/>
        <rFont val="맑은 고딕"/>
        <family val="3"/>
        <charset val="129"/>
      </rPr>
      <t>합계</t>
    </r>
    <r>
      <rPr>
        <sz val="9"/>
        <color rgb="FF000000"/>
        <rFont val="Calibri"/>
        <family val="2"/>
      </rPr>
      <t xml:space="preserve"> </t>
    </r>
    <r>
      <rPr>
        <sz val="9"/>
        <color rgb="FF000000"/>
        <rFont val="맑은 고딕"/>
        <family val="3"/>
        <charset val="129"/>
      </rPr>
      <t>진척율을</t>
    </r>
    <r>
      <rPr>
        <sz val="9"/>
        <color rgb="FF000000"/>
        <rFont val="Calibri"/>
        <family val="2"/>
      </rPr>
      <t xml:space="preserve"> </t>
    </r>
    <r>
      <rPr>
        <sz val="9"/>
        <color rgb="FF000000"/>
        <rFont val="맑은 고딕"/>
        <family val="3"/>
        <charset val="129"/>
      </rPr>
      <t>표시함</t>
    </r>
  </si>
  <si>
    <r>
      <rPr>
        <sz val="9"/>
        <color rgb="FF000000"/>
        <rFont val="맑은 고딕"/>
        <family val="3"/>
        <charset val="129"/>
      </rPr>
      <t>서식</t>
    </r>
    <r>
      <rPr>
        <sz val="9"/>
        <color rgb="FF000000"/>
        <rFont val="Calibri"/>
        <family val="2"/>
      </rPr>
      <t xml:space="preserve">check </t>
    </r>
    <r>
      <rPr>
        <sz val="9"/>
        <color rgb="FF000000"/>
        <rFont val="맑은 고딕"/>
        <family val="3"/>
        <charset val="129"/>
      </rPr>
      <t>중</t>
    </r>
    <r>
      <rPr>
        <sz val="9"/>
        <color rgb="FF000000"/>
        <rFont val="Calibri"/>
        <family val="2"/>
      </rPr>
      <t xml:space="preserve"> </t>
    </r>
    <r>
      <rPr>
        <sz val="9"/>
        <color rgb="FF000000"/>
        <rFont val="맑은 고딕"/>
        <family val="3"/>
        <charset val="129"/>
      </rPr>
      <t>에러가</t>
    </r>
    <r>
      <rPr>
        <sz val="9"/>
        <color rgb="FF000000"/>
        <rFont val="Calibri"/>
        <family val="2"/>
      </rPr>
      <t xml:space="preserve"> </t>
    </r>
    <r>
      <rPr>
        <sz val="9"/>
        <color rgb="FF000000"/>
        <rFont val="맑은 고딕"/>
        <family val="3"/>
        <charset val="129"/>
      </rPr>
      <t>발생하였습니다</t>
    </r>
    <r>
      <rPr>
        <sz val="9"/>
        <color rgb="FF000000"/>
        <rFont val="Calibri"/>
        <family val="2"/>
      </rPr>
      <t>. XLGantt</t>
    </r>
    <r>
      <rPr>
        <sz val="9"/>
        <color rgb="FF000000"/>
        <rFont val="맑은 고딕"/>
        <family val="3"/>
        <charset val="129"/>
      </rPr>
      <t>를</t>
    </r>
    <r>
      <rPr>
        <sz val="9"/>
        <color rgb="FF000000"/>
        <rFont val="Calibri"/>
        <family val="2"/>
      </rPr>
      <t xml:space="preserve"> </t>
    </r>
    <r>
      <rPr>
        <sz val="9"/>
        <color rgb="FF000000"/>
        <rFont val="맑은 고딕"/>
        <family val="3"/>
        <charset val="129"/>
      </rPr>
      <t>종료하고</t>
    </r>
    <r>
      <rPr>
        <sz val="9"/>
        <color rgb="FF000000"/>
        <rFont val="Calibri"/>
        <family val="2"/>
      </rPr>
      <t xml:space="preserve"> </t>
    </r>
    <r>
      <rPr>
        <sz val="9"/>
        <color rgb="FF000000"/>
        <rFont val="맑은 고딕"/>
        <family val="3"/>
        <charset val="129"/>
      </rPr>
      <t>다시</t>
    </r>
    <r>
      <rPr>
        <sz val="9"/>
        <color rgb="FF000000"/>
        <rFont val="Calibri"/>
        <family val="2"/>
      </rPr>
      <t xml:space="preserve"> </t>
    </r>
    <r>
      <rPr>
        <sz val="9"/>
        <color rgb="FF000000"/>
        <rFont val="맑은 고딕"/>
        <family val="3"/>
        <charset val="129"/>
      </rPr>
      <t>시작하십시오</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</si>
  <si>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시작일</t>
    </r>
    <r>
      <rPr>
        <sz val="9"/>
        <color rgb="FF000000"/>
        <rFont val="Calibri"/>
        <family val="2"/>
      </rPr>
      <t xml:space="preserve"> </t>
    </r>
    <r>
      <rPr>
        <sz val="9"/>
        <color rgb="FF000000"/>
        <rFont val="맑은 고딕"/>
        <family val="3"/>
        <charset val="129"/>
      </rPr>
      <t>또는</t>
    </r>
    <r>
      <rPr>
        <sz val="9"/>
        <color rgb="FF000000"/>
        <rFont val="Calibri"/>
        <family val="2"/>
      </rPr>
      <t xml:space="preserve"> </t>
    </r>
    <r>
      <rPr>
        <sz val="9"/>
        <color rgb="FF000000"/>
        <rFont val="맑은 고딕"/>
        <family val="3"/>
        <charset val="129"/>
      </rPr>
      <t>완료일이</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기간을</t>
    </r>
    <r>
      <rPr>
        <sz val="9"/>
        <color rgb="FF000000"/>
        <rFont val="Calibri"/>
        <family val="2"/>
      </rPr>
      <t xml:space="preserve"> </t>
    </r>
    <r>
      <rPr>
        <sz val="9"/>
        <color rgb="FF000000"/>
        <rFont val="맑은 고딕"/>
        <family val="3"/>
        <charset val="129"/>
      </rPr>
      <t>벗어났습니다</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</si>
  <si>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실제시작일이</t>
    </r>
    <r>
      <rPr>
        <sz val="9"/>
        <color rgb="FF000000"/>
        <rFont val="Calibri"/>
        <family val="2"/>
      </rPr>
      <t xml:space="preserve"> </t>
    </r>
    <r>
      <rPr>
        <sz val="9"/>
        <color rgb="FF000000"/>
        <rFont val="맑은 고딕"/>
        <family val="3"/>
        <charset val="129"/>
      </rPr>
      <t>비어있고</t>
    </r>
    <r>
      <rPr>
        <sz val="9"/>
        <color rgb="FF000000"/>
        <rFont val="Calibri"/>
        <family val="2"/>
      </rPr>
      <t xml:space="preserve"> </t>
    </r>
    <r>
      <rPr>
        <sz val="9"/>
        <color rgb="FF000000"/>
        <rFont val="맑은 고딕"/>
        <family val="3"/>
        <charset val="129"/>
      </rPr>
      <t>실제완료일만</t>
    </r>
    <r>
      <rPr>
        <sz val="9"/>
        <color rgb="FF000000"/>
        <rFont val="Calibri"/>
        <family val="2"/>
      </rPr>
      <t xml:space="preserve"> </t>
    </r>
    <r>
      <rPr>
        <sz val="9"/>
        <color rgb="FF000000"/>
        <rFont val="맑은 고딕"/>
        <family val="3"/>
        <charset val="129"/>
      </rPr>
      <t>입력되어</t>
    </r>
    <r>
      <rPr>
        <sz val="9"/>
        <color rgb="FF000000"/>
        <rFont val="Calibri"/>
        <family val="2"/>
      </rPr>
      <t xml:space="preserve"> </t>
    </r>
    <r>
      <rPr>
        <sz val="9"/>
        <color rgb="FF000000"/>
        <rFont val="맑은 고딕"/>
        <family val="3"/>
        <charset val="129"/>
      </rPr>
      <t>있습니다</t>
    </r>
    <r>
      <rPr>
        <sz val="9"/>
        <color rgb="FF000000"/>
        <rFont val="Calibri"/>
        <family val="2"/>
      </rPr>
      <t>.</t>
    </r>
  </si>
  <si>
    <t>{} "Outlook Appointment(s)" have been added.</t>
  </si>
  <si>
    <t>Calculation Base Date of Planned %Work Complete</t>
  </si>
  <si>
    <t>Import data after clearing the existing data</t>
  </si>
  <si>
    <t>Import Data without Clearing the Existing Data</t>
  </si>
  <si>
    <t>Run "Update Schedule"  When Saving XLGantt File</t>
  </si>
  <si>
    <t>You can not edit a task in the selected area.</t>
  </si>
  <si>
    <t>Actual %Complete is invalid. Enter a number only. Verify row {} of the source file.</t>
  </si>
  <si>
    <t>The start date of row number {1} in the {2} sheet is later than the finish date.</t>
  </si>
  <si>
    <t>You can use only start and finish dates. So you can not manage schedule changes.</t>
  </si>
  <si>
    <t>The {} sheet does not exist. Please check that you changed or deleted the sheet.</t>
  </si>
  <si>
    <t>An error occurred while checking for updates. Please try again \nError Message: {}</t>
  </si>
  <si>
    <t>프로젝트 연동 테스트</t>
  </si>
  <si>
    <t>개별 프로그램 개발</t>
  </si>
  <si>
    <t>프로젝트 최종 검증</t>
  </si>
  <si>
    <r>
      <t>실제</t>
    </r>
    <r>
      <rPr>
        <sz val="10"/>
        <color rgb="FF000000"/>
        <rFont val="Calibri"/>
        <family val="2"/>
      </rPr>
      <t xml:space="preserve"> </t>
    </r>
    <r>
      <rPr>
        <sz val="10"/>
        <color rgb="FF000000"/>
        <rFont val="돋움"/>
        <family val="3"/>
        <charset val="129"/>
      </rPr>
      <t>총작업량</t>
    </r>
    <r>
      <rPr>
        <sz val="10"/>
        <color rgb="FF000000"/>
        <rFont val="Calibri"/>
        <family val="2"/>
      </rPr>
      <t>\n(</t>
    </r>
    <r>
      <rPr>
        <sz val="10"/>
        <color rgb="FF000000"/>
        <rFont val="돋움"/>
        <family val="3"/>
        <charset val="129"/>
      </rPr>
      <t>총</t>
    </r>
    <r>
      <rPr>
        <sz val="10"/>
        <color rgb="FF000000"/>
        <rFont val="Calibri"/>
        <family val="2"/>
      </rPr>
      <t xml:space="preserve">ManDay,
</t>
    </r>
    <r>
      <rPr>
        <sz val="10"/>
        <color rgb="FF000000"/>
        <rFont val="돋움"/>
        <family val="3"/>
        <charset val="129"/>
      </rPr>
      <t>가중치</t>
    </r>
    <r>
      <rPr>
        <sz val="10"/>
        <color rgb="FF000000"/>
        <rFont val="Calibri"/>
        <family val="2"/>
      </rPr>
      <t xml:space="preserve"> </t>
    </r>
    <r>
      <rPr>
        <sz val="10"/>
        <color rgb="FF000000"/>
        <rFont val="돋움"/>
        <family val="3"/>
        <charset val="129"/>
      </rPr>
      <t>감안</t>
    </r>
    <r>
      <rPr>
        <sz val="10"/>
        <color rgb="FF000000"/>
        <rFont val="Calibri"/>
        <family val="2"/>
      </rPr>
      <t>)</t>
    </r>
  </si>
  <si>
    <r>
      <t>XLGantt</t>
    </r>
    <r>
      <rPr>
        <sz val="9"/>
        <color rgb="FF000000"/>
        <rFont val="맑은 고딕"/>
        <family val="3"/>
        <charset val="129"/>
      </rPr>
      <t>에서</t>
    </r>
    <r>
      <rPr>
        <sz val="9"/>
        <color rgb="FF000000"/>
        <rFont val="Calibri"/>
        <family val="2"/>
      </rPr>
      <t xml:space="preserve"> </t>
    </r>
    <r>
      <rPr>
        <sz val="9"/>
        <color rgb="FF000000"/>
        <rFont val="맑은 고딕"/>
        <family val="3"/>
        <charset val="129"/>
      </rPr>
      <t>사용할</t>
    </r>
    <r>
      <rPr>
        <sz val="9"/>
        <color rgb="FF000000"/>
        <rFont val="Calibri"/>
        <family val="2"/>
      </rPr>
      <t xml:space="preserve"> </t>
    </r>
    <r>
      <rPr>
        <sz val="9"/>
        <color rgb="FF000000"/>
        <rFont val="맑은 고딕"/>
        <family val="3"/>
        <charset val="129"/>
      </rPr>
      <t>언어를</t>
    </r>
    <r>
      <rPr>
        <sz val="9"/>
        <color rgb="FF000000"/>
        <rFont val="Calibri"/>
        <family val="2"/>
      </rPr>
      <t xml:space="preserve"> </t>
    </r>
    <r>
      <rPr>
        <sz val="9"/>
        <color rgb="FF000000"/>
        <rFont val="맑은 고딕"/>
        <family val="3"/>
        <charset val="129"/>
      </rPr>
      <t>선택하세요</t>
    </r>
    <r>
      <rPr>
        <sz val="9"/>
        <color rgb="FF000000"/>
        <rFont val="Calibri"/>
        <family val="2"/>
      </rPr>
      <t>.</t>
    </r>
  </si>
  <si>
    <r>
      <t>Calendar sheet</t>
    </r>
    <r>
      <rPr>
        <sz val="9"/>
        <color rgb="FF000000"/>
        <rFont val="맑은 고딕"/>
        <family val="3"/>
        <charset val="129"/>
      </rPr>
      <t>에</t>
    </r>
    <r>
      <rPr>
        <sz val="9"/>
        <color rgb="FF000000"/>
        <rFont val="Calibri"/>
        <family val="2"/>
      </rPr>
      <t xml:space="preserve"> </t>
    </r>
    <r>
      <rPr>
        <sz val="9"/>
        <color rgb="FF000000"/>
        <rFont val="맑은 고딕"/>
        <family val="3"/>
        <charset val="129"/>
      </rPr>
      <t>입력할</t>
    </r>
    <r>
      <rPr>
        <sz val="9"/>
        <color rgb="FF000000"/>
        <rFont val="Calibri"/>
        <family val="2"/>
      </rPr>
      <t xml:space="preserve"> </t>
    </r>
    <r>
      <rPr>
        <sz val="9"/>
        <color rgb="FF000000"/>
        <rFont val="맑은 고딕"/>
        <family val="3"/>
        <charset val="129"/>
      </rPr>
      <t>필요</t>
    </r>
    <r>
      <rPr>
        <sz val="9"/>
        <color rgb="FF000000"/>
        <rFont val="Calibri"/>
        <family val="2"/>
      </rPr>
      <t xml:space="preserve"> </t>
    </r>
    <r>
      <rPr>
        <sz val="9"/>
        <color rgb="FF000000"/>
        <rFont val="맑은 고딕"/>
        <family val="3"/>
        <charset val="129"/>
      </rPr>
      <t>없음</t>
    </r>
  </si>
  <si>
    <r>
      <t xml:space="preserve"> </t>
    </r>
    <r>
      <rPr>
        <sz val="9"/>
        <color rgb="FF000000"/>
        <rFont val="맑은 고딕"/>
        <family val="3"/>
        <charset val="129"/>
      </rPr>
      <t>필드</t>
    </r>
    <r>
      <rPr>
        <sz val="9"/>
        <color rgb="FF000000"/>
        <rFont val="Calibri"/>
        <family val="2"/>
      </rPr>
      <t xml:space="preserve"> </t>
    </r>
    <r>
      <rPr>
        <sz val="9"/>
        <color rgb="FF000000"/>
        <rFont val="맑은 고딕"/>
        <family val="3"/>
        <charset val="129"/>
      </rPr>
      <t>명</t>
    </r>
    <r>
      <rPr>
        <sz val="9"/>
        <color rgb="FF000000"/>
        <rFont val="Calibri"/>
        <family val="2"/>
      </rPr>
      <t xml:space="preserve">                </t>
    </r>
    <r>
      <rPr>
        <sz val="9"/>
        <color rgb="FF000000"/>
        <rFont val="맑은 고딕"/>
        <family val="3"/>
        <charset val="129"/>
      </rPr>
      <t>필드</t>
    </r>
    <r>
      <rPr>
        <sz val="9"/>
        <color rgb="FF000000"/>
        <rFont val="Calibri"/>
        <family val="2"/>
      </rPr>
      <t xml:space="preserve"> </t>
    </r>
    <r>
      <rPr>
        <sz val="9"/>
        <color rgb="FF000000"/>
        <rFont val="맑은 고딕"/>
        <family val="3"/>
        <charset val="129"/>
      </rPr>
      <t>값</t>
    </r>
  </si>
  <si>
    <r>
      <t xml:space="preserve"> </t>
    </r>
    <r>
      <rPr>
        <sz val="9"/>
        <color rgb="FF000000"/>
        <rFont val="맑은 고딕"/>
        <family val="3"/>
        <charset val="129"/>
      </rPr>
      <t>필드</t>
    </r>
    <r>
      <rPr>
        <sz val="9"/>
        <color rgb="FF000000"/>
        <rFont val="Calibri"/>
        <family val="2"/>
      </rPr>
      <t xml:space="preserve"> </t>
    </r>
    <r>
      <rPr>
        <sz val="9"/>
        <color rgb="FF000000"/>
        <rFont val="맑은 고딕"/>
        <family val="3"/>
        <charset val="129"/>
      </rPr>
      <t>명</t>
    </r>
    <r>
      <rPr>
        <sz val="9"/>
        <color rgb="FF000000"/>
        <rFont val="Calibri"/>
        <family val="2"/>
      </rPr>
      <t xml:space="preserve">                </t>
    </r>
    <r>
      <rPr>
        <sz val="9"/>
        <color rgb="FF000000"/>
        <rFont val="맑은 고딕"/>
        <family val="3"/>
        <charset val="129"/>
      </rPr>
      <t>값</t>
    </r>
    <r>
      <rPr>
        <sz val="9"/>
        <color rgb="FF000000"/>
        <rFont val="Calibri"/>
        <family val="2"/>
      </rPr>
      <t xml:space="preserve"> </t>
    </r>
    <r>
      <rPr>
        <sz val="9"/>
        <color rgb="FF000000"/>
        <rFont val="맑은 고딕"/>
        <family val="3"/>
        <charset val="129"/>
      </rPr>
      <t>예시</t>
    </r>
  </si>
  <si>
    <r>
      <t xml:space="preserve">* </t>
    </r>
    <r>
      <rPr>
        <sz val="9"/>
        <color rgb="FF000000"/>
        <rFont val="맑은 고딕"/>
        <family val="3"/>
        <charset val="129"/>
      </rPr>
      <t>주별</t>
    </r>
    <r>
      <rPr>
        <sz val="9"/>
        <color rgb="FF000000"/>
        <rFont val="Calibri"/>
        <family val="2"/>
      </rPr>
      <t xml:space="preserve"> </t>
    </r>
    <r>
      <rPr>
        <sz val="9"/>
        <color rgb="FF000000"/>
        <rFont val="맑은 고딕"/>
        <family val="3"/>
        <charset val="129"/>
      </rPr>
      <t>또는</t>
    </r>
    <r>
      <rPr>
        <sz val="9"/>
        <color rgb="FF000000"/>
        <rFont val="Calibri"/>
        <family val="2"/>
      </rPr>
      <t xml:space="preserve"> </t>
    </r>
    <r>
      <rPr>
        <sz val="9"/>
        <color rgb="FF000000"/>
        <rFont val="맑은 고딕"/>
        <family val="3"/>
        <charset val="129"/>
      </rPr>
      <t>월별</t>
    </r>
    <r>
      <rPr>
        <sz val="9"/>
        <color rgb="FF000000"/>
        <rFont val="Calibri"/>
        <family val="2"/>
      </rPr>
      <t xml:space="preserve"> Workload</t>
    </r>
    <r>
      <rPr>
        <sz val="9"/>
        <color rgb="FF000000"/>
        <rFont val="맑은 고딕"/>
        <family val="3"/>
        <charset val="129"/>
      </rPr>
      <t>를</t>
    </r>
    <r>
      <rPr>
        <sz val="9"/>
        <color rgb="FF000000"/>
        <rFont val="Calibri"/>
        <family val="2"/>
      </rPr>
      <t xml:space="preserve"> </t>
    </r>
    <r>
      <rPr>
        <sz val="9"/>
        <color rgb="FF000000"/>
        <rFont val="맑은 고딕"/>
        <family val="3"/>
        <charset val="129"/>
      </rPr>
      <t>보여줍니다</t>
    </r>
    <r>
      <rPr>
        <sz val="9"/>
        <color rgb="FF000000"/>
        <rFont val="Calibri"/>
        <family val="2"/>
      </rPr>
      <t>.</t>
    </r>
  </si>
  <si>
    <r>
      <t xml:space="preserve">* </t>
    </r>
    <r>
      <rPr>
        <sz val="9"/>
        <color rgb="FF000000"/>
        <rFont val="맑은 고딕"/>
        <family val="3"/>
        <charset val="129"/>
      </rPr>
      <t>주별로</t>
    </r>
    <r>
      <rPr>
        <sz val="9"/>
        <color rgb="FF000000"/>
        <rFont val="Calibri"/>
        <family val="2"/>
      </rPr>
      <t xml:space="preserve"> </t>
    </r>
    <r>
      <rPr>
        <sz val="9"/>
        <color rgb="FF000000"/>
        <rFont val="맑은 고딕"/>
        <family val="3"/>
        <charset val="129"/>
      </rPr>
      <t>프로젝트의</t>
    </r>
    <r>
      <rPr>
        <sz val="9"/>
        <color rgb="FF000000"/>
        <rFont val="Calibri"/>
        <family val="2"/>
      </rPr>
      <t xml:space="preserve"> </t>
    </r>
    <r>
      <rPr>
        <sz val="9"/>
        <color rgb="FF000000"/>
        <rFont val="맑은 고딕"/>
        <family val="3"/>
        <charset val="129"/>
      </rPr>
      <t>계획진적율을</t>
    </r>
    <r>
      <rPr>
        <sz val="9"/>
        <color rgb="FF000000"/>
        <rFont val="Calibri"/>
        <family val="2"/>
      </rPr>
      <t xml:space="preserve"> </t>
    </r>
    <r>
      <rPr>
        <sz val="9"/>
        <color rgb="FF000000"/>
        <rFont val="맑은 고딕"/>
        <family val="3"/>
        <charset val="129"/>
      </rPr>
      <t>보여줍니다</t>
    </r>
    <r>
      <rPr>
        <sz val="9"/>
        <color rgb="FF000000"/>
        <rFont val="Calibri"/>
        <family val="2"/>
      </rPr>
      <t>.</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</si>
  <si>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설날</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</si>
  <si>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삼일절</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</si>
  <si>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설연휴</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</si>
  <si>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신정</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</si>
  <si>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광복절</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</si>
  <si>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현충일</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</si>
  <si>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추석</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</si>
  <si>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추석연휴</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</si>
  <si>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신정</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</si>
  <si>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성탄절</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</si>
  <si>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개천절</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</si>
  <si>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한글날</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</si>
  <si>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설날</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</si>
  <si>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삼일절</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</si>
  <si>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설연휴</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</si>
  <si>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광복절</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</si>
  <si>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현충일</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</si>
  <si>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추석연휴</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</si>
  <si>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추석</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</si>
  <si>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성탄절</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</si>
  <si>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한글날</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</si>
  <si>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개천절</t>
    </r>
  </si>
  <si>
    <r>
      <t>Mapping</t>
    </r>
    <r>
      <rPr>
        <sz val="9"/>
        <color rgb="FF000000"/>
        <rFont val="맑은 고딕"/>
        <family val="3"/>
        <charset val="129"/>
      </rPr>
      <t>취소항목이</t>
    </r>
    <r>
      <rPr>
        <sz val="9"/>
        <color rgb="FF000000"/>
        <rFont val="Calibri"/>
        <family val="2"/>
      </rPr>
      <t xml:space="preserve"> </t>
    </r>
    <r>
      <rPr>
        <sz val="9"/>
        <color rgb="FF000000"/>
        <rFont val="맑은 고딕"/>
        <family val="3"/>
        <charset val="129"/>
      </rPr>
      <t>선택되지</t>
    </r>
    <r>
      <rPr>
        <sz val="9"/>
        <color rgb="FF000000"/>
        <rFont val="Calibri"/>
        <family val="2"/>
      </rPr>
      <t xml:space="preserve"> </t>
    </r>
    <r>
      <rPr>
        <sz val="9"/>
        <color rgb="FF000000"/>
        <rFont val="맑은 고딕"/>
        <family val="3"/>
        <charset val="129"/>
      </rPr>
      <t>않았습니다</t>
    </r>
    <r>
      <rPr>
        <sz val="9"/>
        <color rgb="FF000000"/>
        <rFont val="Calibri"/>
        <family val="2"/>
      </rPr>
      <t>.</t>
    </r>
  </si>
  <si>
    <r>
      <t>Level</t>
    </r>
    <r>
      <rPr>
        <sz val="9"/>
        <color rgb="FF000000"/>
        <rFont val="맑은 고딕"/>
        <family val="3"/>
        <charset val="129"/>
      </rPr>
      <t>의</t>
    </r>
    <r>
      <rPr>
        <sz val="9"/>
        <color rgb="FF000000"/>
        <rFont val="Calibri"/>
        <family val="2"/>
      </rPr>
      <t xml:space="preserve"> </t>
    </r>
    <r>
      <rPr>
        <sz val="9"/>
        <color rgb="FF000000"/>
        <rFont val="맑은 고딕"/>
        <family val="3"/>
        <charset val="129"/>
      </rPr>
      <t>갯수는</t>
    </r>
    <r>
      <rPr>
        <sz val="9"/>
        <color rgb="FF000000"/>
        <rFont val="Calibri"/>
        <family val="2"/>
      </rPr>
      <t xml:space="preserve"> </t>
    </r>
    <r>
      <rPr>
        <sz val="9"/>
        <color rgb="FF000000"/>
        <rFont val="맑은 고딕"/>
        <family val="3"/>
        <charset val="129"/>
      </rPr>
      <t>양의</t>
    </r>
    <r>
      <rPr>
        <sz val="9"/>
        <color rgb="FF000000"/>
        <rFont val="Calibri"/>
        <family val="2"/>
      </rPr>
      <t xml:space="preserve"> </t>
    </r>
    <r>
      <rPr>
        <sz val="9"/>
        <color rgb="FF000000"/>
        <rFont val="맑은 고딕"/>
        <family val="3"/>
        <charset val="129"/>
      </rPr>
      <t>정수만</t>
    </r>
    <r>
      <rPr>
        <sz val="9"/>
        <color rgb="FF000000"/>
        <rFont val="Calibri"/>
        <family val="2"/>
      </rPr>
      <t xml:space="preserve"> </t>
    </r>
    <r>
      <rPr>
        <sz val="9"/>
        <color rgb="FF000000"/>
        <rFont val="맑은 고딕"/>
        <family val="3"/>
        <charset val="129"/>
      </rPr>
      <t>가능합니다</t>
    </r>
    <r>
      <rPr>
        <sz val="9"/>
        <color rgb="FF000000"/>
        <rFont val="Calibri"/>
        <family val="2"/>
      </rPr>
      <t>.</t>
    </r>
  </si>
  <si>
    <r>
      <t>Level</t>
    </r>
    <r>
      <rPr>
        <sz val="9"/>
        <color rgb="FF000000"/>
        <rFont val="맑은 고딕"/>
        <family val="3"/>
        <charset val="129"/>
      </rPr>
      <t>의</t>
    </r>
    <r>
      <rPr>
        <sz val="9"/>
        <color rgb="FF000000"/>
        <rFont val="Calibri"/>
        <family val="2"/>
      </rPr>
      <t xml:space="preserve"> </t>
    </r>
    <r>
      <rPr>
        <sz val="9"/>
        <color rgb="FF000000"/>
        <rFont val="맑은 고딕"/>
        <family val="3"/>
        <charset val="129"/>
      </rPr>
      <t>갯수는</t>
    </r>
    <r>
      <rPr>
        <sz val="9"/>
        <color rgb="FF000000"/>
        <rFont val="Calibri"/>
        <family val="2"/>
      </rPr>
      <t xml:space="preserve"> {}</t>
    </r>
    <r>
      <rPr>
        <sz val="9"/>
        <color rgb="FF000000"/>
        <rFont val="맑은 고딕"/>
        <family val="3"/>
        <charset val="129"/>
      </rPr>
      <t>개까지만</t>
    </r>
    <r>
      <rPr>
        <sz val="9"/>
        <color rgb="FF000000"/>
        <rFont val="Calibri"/>
        <family val="2"/>
      </rPr>
      <t xml:space="preserve"> </t>
    </r>
    <r>
      <rPr>
        <sz val="9"/>
        <color rgb="FF000000"/>
        <rFont val="맑은 고딕"/>
        <family val="3"/>
        <charset val="129"/>
      </rPr>
      <t>가능합니다</t>
    </r>
    <r>
      <rPr>
        <sz val="9"/>
        <color rgb="FF000000"/>
        <rFont val="Calibri"/>
        <family val="2"/>
      </rPr>
      <t>.</t>
    </r>
  </si>
  <si>
    <r>
      <t>{} Sheet</t>
    </r>
    <r>
      <rPr>
        <sz val="9"/>
        <color rgb="FF000000"/>
        <rFont val="맑은 고딕"/>
        <family val="3"/>
        <charset val="129"/>
      </rPr>
      <t>에서만</t>
    </r>
    <r>
      <rPr>
        <sz val="9"/>
        <color rgb="FF000000"/>
        <rFont val="Calibri"/>
        <family val="2"/>
      </rPr>
      <t xml:space="preserve"> </t>
    </r>
    <r>
      <rPr>
        <sz val="9"/>
        <color rgb="FF000000"/>
        <rFont val="맑은 고딕"/>
        <family val="3"/>
        <charset val="129"/>
      </rPr>
      <t>작업을</t>
    </r>
    <r>
      <rPr>
        <sz val="9"/>
        <color rgb="FF000000"/>
        <rFont val="Calibri"/>
        <family val="2"/>
      </rPr>
      <t xml:space="preserve"> </t>
    </r>
    <r>
      <rPr>
        <sz val="9"/>
        <color rgb="FF000000"/>
        <rFont val="맑은 고딕"/>
        <family val="3"/>
        <charset val="129"/>
      </rPr>
      <t>편집할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t>
    </r>
  </si>
  <si>
    <t>The language setting has been changed.\nPress the OK button to start translation. \nIt may take a long time to translate.\nHowever, translation of Ribbon menu and Popup menu takes effect after reopening this XLGantt file.</t>
  </si>
  <si>
    <r>
      <t xml:space="preserve">* </t>
    </r>
    <r>
      <rPr>
        <sz val="9"/>
        <color rgb="FF000000"/>
        <rFont val="맑은 고딕"/>
        <family val="3"/>
        <charset val="129"/>
      </rPr>
      <t>현재</t>
    </r>
    <r>
      <rPr>
        <sz val="9"/>
        <color rgb="FF000000"/>
        <rFont val="Calibri"/>
        <family val="2"/>
      </rPr>
      <t xml:space="preserve"> XLGantt</t>
    </r>
    <r>
      <rPr>
        <sz val="9"/>
        <color rgb="FF000000"/>
        <rFont val="맑은 고딕"/>
        <family val="3"/>
        <charset val="129"/>
      </rPr>
      <t>는</t>
    </r>
    <r>
      <rPr>
        <sz val="9"/>
        <color rgb="FF000000"/>
        <rFont val="Calibri"/>
        <family val="2"/>
      </rPr>
      <t xml:space="preserve"> </t>
    </r>
    <r>
      <rPr>
        <sz val="9"/>
        <color rgb="FF000000"/>
        <rFont val="맑은 고딕"/>
        <family val="3"/>
        <charset val="129"/>
      </rPr>
      <t>영어와</t>
    </r>
    <r>
      <rPr>
        <sz val="9"/>
        <color rgb="FF000000"/>
        <rFont val="Calibri"/>
        <family val="2"/>
      </rPr>
      <t xml:space="preserve"> </t>
    </r>
    <r>
      <rPr>
        <sz val="9"/>
        <color rgb="FF000000"/>
        <rFont val="맑은 고딕"/>
        <family val="3"/>
        <charset val="129"/>
      </rPr>
      <t>한국어만</t>
    </r>
    <r>
      <rPr>
        <sz val="9"/>
        <color rgb="FF000000"/>
        <rFont val="Calibri"/>
        <family val="2"/>
      </rPr>
      <t xml:space="preserve"> </t>
    </r>
    <r>
      <rPr>
        <sz val="9"/>
        <color rgb="FF000000"/>
        <rFont val="맑은 고딕"/>
        <family val="3"/>
        <charset val="129"/>
      </rPr>
      <t>지원합니다</t>
    </r>
    <r>
      <rPr>
        <sz val="9"/>
        <color rgb="FF000000"/>
        <rFont val="Calibri"/>
        <family val="2"/>
      </rPr>
      <t xml:space="preserve">. </t>
    </r>
    <r>
      <rPr>
        <sz val="9"/>
        <color rgb="FF000000"/>
        <rFont val="맑은 고딕"/>
        <family val="3"/>
        <charset val="129"/>
      </rPr>
      <t>다른</t>
    </r>
    <r>
      <rPr>
        <sz val="9"/>
        <color rgb="FF000000"/>
        <rFont val="Calibri"/>
        <family val="2"/>
      </rPr>
      <t xml:space="preserve"> </t>
    </r>
    <r>
      <rPr>
        <sz val="9"/>
        <color rgb="FF000000"/>
        <rFont val="맑은 고딕"/>
        <family val="3"/>
        <charset val="129"/>
      </rPr>
      <t>언어가</t>
    </r>
    <r>
      <rPr>
        <sz val="9"/>
        <color rgb="FF000000"/>
        <rFont val="Calibri"/>
        <family val="2"/>
      </rPr>
      <t xml:space="preserve"> </t>
    </r>
    <r>
      <rPr>
        <sz val="9"/>
        <color rgb="FF000000"/>
        <rFont val="맑은 고딕"/>
        <family val="3"/>
        <charset val="129"/>
      </rPr>
      <t>필요하면</t>
    </r>
    <r>
      <rPr>
        <sz val="9"/>
        <color rgb="FF000000"/>
        <rFont val="Calibri"/>
        <family val="2"/>
      </rPr>
      <t xml:space="preserve">  </t>
    </r>
    <r>
      <rPr>
        <sz val="9"/>
        <color rgb="FF000000"/>
        <rFont val="맑은 고딕"/>
        <family val="3"/>
        <charset val="129"/>
      </rPr>
      <t>아래</t>
    </r>
    <r>
      <rPr>
        <sz val="9"/>
        <color rgb="FF000000"/>
        <rFont val="Calibri"/>
        <family val="2"/>
      </rPr>
      <t xml:space="preserve"> "</t>
    </r>
    <r>
      <rPr>
        <sz val="9"/>
        <color rgb="FF000000"/>
        <rFont val="맑은 고딕"/>
        <family val="3"/>
        <charset val="129"/>
      </rPr>
      <t>언어추가</t>
    </r>
    <r>
      <rPr>
        <sz val="9"/>
        <color rgb="FF000000"/>
        <rFont val="Calibri"/>
        <family val="2"/>
      </rPr>
      <t>"</t>
    </r>
    <r>
      <rPr>
        <sz val="9"/>
        <color rgb="FF000000"/>
        <rFont val="맑은 고딕"/>
        <family val="3"/>
        <charset val="129"/>
      </rPr>
      <t>에서</t>
    </r>
    <r>
      <rPr>
        <sz val="9"/>
        <color rgb="FF000000"/>
        <rFont val="Calibri"/>
        <family val="2"/>
      </rPr>
      <t xml:space="preserve"> </t>
    </r>
    <r>
      <rPr>
        <sz val="9"/>
        <color rgb="FF000000"/>
        <rFont val="맑은 고딕"/>
        <family val="3"/>
        <charset val="129"/>
      </rPr>
      <t>다른</t>
    </r>
    <r>
      <rPr>
        <sz val="9"/>
        <color rgb="FF000000"/>
        <rFont val="Calibri"/>
        <family val="2"/>
      </rPr>
      <t xml:space="preserve"> </t>
    </r>
    <r>
      <rPr>
        <sz val="9"/>
        <color rgb="FF000000"/>
        <rFont val="맑은 고딕"/>
        <family val="3"/>
        <charset val="129"/>
      </rPr>
      <t>언어를</t>
    </r>
    <r>
      <rPr>
        <sz val="9"/>
        <color rgb="FF000000"/>
        <rFont val="Calibri"/>
        <family val="2"/>
      </rPr>
      <t xml:space="preserve"> </t>
    </r>
    <r>
      <rPr>
        <sz val="9"/>
        <color rgb="FF000000"/>
        <rFont val="맑은 고딕"/>
        <family val="3"/>
        <charset val="129"/>
      </rPr>
      <t>추가하고</t>
    </r>
    <r>
      <rPr>
        <sz val="9"/>
        <color rgb="FF000000"/>
        <rFont val="Calibri"/>
        <family val="2"/>
      </rPr>
      <t xml:space="preserve"> TranslatedLanguages sheet</t>
    </r>
    <r>
      <rPr>
        <sz val="9"/>
        <color rgb="FF000000"/>
        <rFont val="맑은 고딕"/>
        <family val="3"/>
        <charset val="129"/>
      </rPr>
      <t>에</t>
    </r>
    <r>
      <rPr>
        <sz val="9"/>
        <color rgb="FF000000"/>
        <rFont val="Calibri"/>
        <family val="2"/>
      </rPr>
      <t xml:space="preserve"> </t>
    </r>
    <r>
      <rPr>
        <sz val="9"/>
        <color rgb="FF000000"/>
        <rFont val="맑은 고딕"/>
        <family val="3"/>
        <charset val="129"/>
      </rPr>
      <t>각</t>
    </r>
    <r>
      <rPr>
        <sz val="9"/>
        <color rgb="FF000000"/>
        <rFont val="Calibri"/>
        <family val="2"/>
      </rPr>
      <t xml:space="preserve"> </t>
    </r>
    <r>
      <rPr>
        <sz val="9"/>
        <color rgb="FF000000"/>
        <rFont val="맑은 고딕"/>
        <family val="3"/>
        <charset val="129"/>
      </rPr>
      <t>언어별로</t>
    </r>
    <r>
      <rPr>
        <sz val="9"/>
        <color rgb="FF000000"/>
        <rFont val="Calibri"/>
        <family val="2"/>
      </rPr>
      <t xml:space="preserve"> </t>
    </r>
    <r>
      <rPr>
        <sz val="9"/>
        <color rgb="FF000000"/>
        <rFont val="맑은 고딕"/>
        <family val="3"/>
        <charset val="129"/>
      </rPr>
      <t>번역을</t>
    </r>
    <r>
      <rPr>
        <sz val="9"/>
        <color rgb="FF000000"/>
        <rFont val="Calibri"/>
        <family val="2"/>
      </rPr>
      <t xml:space="preserve"> </t>
    </r>
    <r>
      <rPr>
        <sz val="9"/>
        <color rgb="FF000000"/>
        <rFont val="맑은 고딕"/>
        <family val="3"/>
        <charset val="129"/>
      </rPr>
      <t>추가해야</t>
    </r>
    <r>
      <rPr>
        <sz val="9"/>
        <color rgb="FF000000"/>
        <rFont val="Calibri"/>
        <family val="2"/>
      </rPr>
      <t xml:space="preserve"> </t>
    </r>
    <r>
      <rPr>
        <sz val="9"/>
        <color rgb="FF000000"/>
        <rFont val="맑은 고딕"/>
        <family val="3"/>
        <charset val="129"/>
      </rPr>
      <t>합니다</t>
    </r>
    <r>
      <rPr>
        <sz val="9"/>
        <color rgb="FF000000"/>
        <rFont val="Calibri"/>
        <family val="2"/>
      </rPr>
      <t xml:space="preserve">. </t>
    </r>
    <r>
      <rPr>
        <sz val="9"/>
        <color rgb="FF000000"/>
        <rFont val="맑은 고딕"/>
        <family val="3"/>
        <charset val="129"/>
      </rPr>
      <t>번역을</t>
    </r>
    <r>
      <rPr>
        <sz val="9"/>
        <color rgb="FF000000"/>
        <rFont val="Calibri"/>
        <family val="2"/>
      </rPr>
      <t xml:space="preserve"> </t>
    </r>
    <r>
      <rPr>
        <sz val="9"/>
        <color rgb="FF000000"/>
        <rFont val="맑은 고딕"/>
        <family val="3"/>
        <charset val="129"/>
      </rPr>
      <t>추가하지</t>
    </r>
    <r>
      <rPr>
        <sz val="9"/>
        <color rgb="FF000000"/>
        <rFont val="Calibri"/>
        <family val="2"/>
      </rPr>
      <t xml:space="preserve"> </t>
    </r>
    <r>
      <rPr>
        <sz val="9"/>
        <color rgb="FF000000"/>
        <rFont val="맑은 고딕"/>
        <family val="3"/>
        <charset val="129"/>
      </rPr>
      <t>않으면</t>
    </r>
    <r>
      <rPr>
        <sz val="9"/>
        <color rgb="FF000000"/>
        <rFont val="Calibri"/>
        <family val="2"/>
      </rPr>
      <t xml:space="preserve"> </t>
    </r>
    <r>
      <rPr>
        <sz val="9"/>
        <color rgb="FF000000"/>
        <rFont val="맑은 고딕"/>
        <family val="3"/>
        <charset val="129"/>
      </rPr>
      <t>기본언어인</t>
    </r>
    <r>
      <rPr>
        <sz val="9"/>
        <color rgb="FF000000"/>
        <rFont val="Calibri"/>
        <family val="2"/>
      </rPr>
      <t xml:space="preserve"> </t>
    </r>
    <r>
      <rPr>
        <sz val="9"/>
        <color rgb="FF000000"/>
        <rFont val="맑은 고딕"/>
        <family val="3"/>
        <charset val="129"/>
      </rPr>
      <t>영어로</t>
    </r>
    <r>
      <rPr>
        <sz val="9"/>
        <color rgb="FF000000"/>
        <rFont val="Calibri"/>
        <family val="2"/>
      </rPr>
      <t xml:space="preserve"> </t>
    </r>
    <r>
      <rPr>
        <sz val="9"/>
        <color rgb="FF000000"/>
        <rFont val="맑은 고딕"/>
        <family val="3"/>
        <charset val="129"/>
      </rPr>
      <t>표시됩니다</t>
    </r>
    <r>
      <rPr>
        <sz val="9"/>
        <color rgb="FF000000"/>
        <rFont val="Calibri"/>
        <family val="2"/>
      </rPr>
      <t>(TranslatedLanguages sheet</t>
    </r>
    <r>
      <rPr>
        <sz val="9"/>
        <color rgb="FF000000"/>
        <rFont val="맑은 고딕"/>
        <family val="3"/>
        <charset val="129"/>
      </rPr>
      <t>는</t>
    </r>
    <r>
      <rPr>
        <sz val="9"/>
        <color rgb="FF000000"/>
        <rFont val="Calibri"/>
        <family val="2"/>
      </rPr>
      <t xml:space="preserve"> </t>
    </r>
    <r>
      <rPr>
        <sz val="9"/>
        <color rgb="FF000000"/>
        <rFont val="맑은 고딕"/>
        <family val="3"/>
        <charset val="129"/>
      </rPr>
      <t>숨겨져</t>
    </r>
    <r>
      <rPr>
        <sz val="9"/>
        <color rgb="FF000000"/>
        <rFont val="Calibri"/>
        <family val="2"/>
      </rPr>
      <t xml:space="preserve"> </t>
    </r>
    <r>
      <rPr>
        <sz val="9"/>
        <color rgb="FF000000"/>
        <rFont val="맑은 고딕"/>
        <family val="3"/>
        <charset val="129"/>
      </rPr>
      <t>있음</t>
    </r>
    <r>
      <rPr>
        <sz val="9"/>
        <color rgb="FF000000"/>
        <rFont val="Calibri"/>
        <family val="2"/>
      </rPr>
      <t>,Sheet</t>
    </r>
    <r>
      <rPr>
        <sz val="9"/>
        <color rgb="FF000000"/>
        <rFont val="맑은 고딕"/>
        <family val="3"/>
        <charset val="129"/>
      </rPr>
      <t>메뉴에서</t>
    </r>
    <r>
      <rPr>
        <sz val="9"/>
        <color rgb="FF000000"/>
        <rFont val="Calibri"/>
        <family val="2"/>
      </rPr>
      <t xml:space="preserve"> </t>
    </r>
    <r>
      <rPr>
        <sz val="9"/>
        <color rgb="FF000000"/>
        <rFont val="맑은 고딕"/>
        <family val="3"/>
        <charset val="129"/>
      </rPr>
      <t>숨기기</t>
    </r>
    <r>
      <rPr>
        <sz val="9"/>
        <color rgb="FF000000"/>
        <rFont val="Calibri"/>
        <family val="2"/>
      </rPr>
      <t xml:space="preserve"> </t>
    </r>
    <r>
      <rPr>
        <sz val="9"/>
        <color rgb="FF000000"/>
        <rFont val="맑은 고딕"/>
        <family val="3"/>
        <charset val="129"/>
      </rPr>
      <t>취소하면</t>
    </r>
    <r>
      <rPr>
        <sz val="9"/>
        <color rgb="FF000000"/>
        <rFont val="Calibri"/>
        <family val="2"/>
      </rPr>
      <t xml:space="preserve"> </t>
    </r>
    <r>
      <rPr>
        <sz val="9"/>
        <color rgb="FF000000"/>
        <rFont val="맑은 고딕"/>
        <family val="3"/>
        <charset val="129"/>
      </rPr>
      <t>볼</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있음</t>
    </r>
    <r>
      <rPr>
        <sz val="9"/>
        <color rgb="FF000000"/>
        <rFont val="Calibri"/>
        <family val="2"/>
      </rPr>
      <t>)</t>
    </r>
  </si>
  <si>
    <t>%Work\nComplete</t>
  </si>
  <si>
    <t>INSERTED_DATE</t>
  </si>
  <si>
    <t>DO NOT UPDATE</t>
  </si>
  <si>
    <t>%Work Complete</t>
  </si>
  <si>
    <t>Deliverables</t>
  </si>
  <si>
    <t>Actual\nStart</t>
  </si>
  <si>
    <t>RELEASE_DATE</t>
  </si>
  <si>
    <t>1차 프로젝트 계획 수립</t>
  </si>
  <si>
    <t>This Month only</t>
  </si>
  <si>
    <t>Release Date</t>
  </si>
  <si>
    <t>UPDATED_DATE</t>
  </si>
  <si>
    <t>AUTHOR_EMAIL</t>
  </si>
  <si>
    <t>Display date</t>
  </si>
  <si>
    <t>Program Site</t>
  </si>
  <si>
    <t>Current Version</t>
  </si>
  <si>
    <t>Import Option</t>
  </si>
  <si>
    <t>Outline Level</t>
  </si>
  <si>
    <t>WBS,Gantt Chart</t>
  </si>
  <si>
    <t>Choose directly</t>
  </si>
  <si>
    <t>Workloads by {}</t>
  </si>
  <si>
    <t>프로젝트 착수 및 계획수립</t>
  </si>
  <si>
    <t>본인 파트 동작 구현 완료</t>
  </si>
  <si>
    <t>Start-Finish</t>
  </si>
  <si>
    <t>OPTIONS_GENERAL</t>
  </si>
  <si>
    <t>PROGRAM_NAME</t>
  </si>
  <si>
    <t>Add Languages</t>
  </si>
  <si>
    <t>착수보고(Kick off)</t>
  </si>
  <si>
    <t>Actual Start</t>
  </si>
  <si>
    <t>Resource field.</t>
  </si>
  <si>
    <t>%Work__Complete</t>
  </si>
  <si>
    <t>PROGRAM_SITE</t>
  </si>
  <si>
    <t>Name:taskDisp</t>
  </si>
  <si>
    <t>Name:groupRows</t>
  </si>
  <si>
    <t>Planned__Work</t>
  </si>
  <si>
    <t>Actual__Start</t>
  </si>
  <si>
    <t>Actual__Finish</t>
  </si>
  <si>
    <t>Planned\nWork</t>
  </si>
  <si>
    <t>프로젝트 수행 및 통제</t>
  </si>
  <si>
    <t>Specific Date</t>
  </si>
  <si>
    <t>Monthly view</t>
  </si>
  <si>
    <t>Name:dateDisp</t>
  </si>
  <si>
    <t>Nonworking Days</t>
  </si>
  <si>
    <t>To (XLGantt)</t>
  </si>
  <si>
    <t>현재일까지 계획된 작업량</t>
  </si>
  <si>
    <t>프로그램코딩 및 단위테스트</t>
  </si>
  <si>
    <t>Total\nDuration</t>
  </si>
  <si>
    <t>manual input</t>
  </si>
  <si>
    <t>프로젝트수행계획서.pptx</t>
  </si>
  <si>
    <t>Actual Finish</t>
  </si>
  <si>
    <t>Architecture설계</t>
  </si>
  <si>
    <t>Update Schedule</t>
  </si>
  <si>
    <t>Project Name</t>
  </si>
  <si>
    <t>Total__Duration</t>
  </si>
  <si>
    <t>Reformatting</t>
  </si>
  <si>
    <t>This Week only</t>
  </si>
  <si>
    <t>Specific path</t>
  </si>
  <si>
    <t>논리데이터모델링.pptx</t>
  </si>
  <si>
    <t>Program Name</t>
  </si>
  <si>
    <t>Actual\nFinish</t>
  </si>
  <si>
    <t>Import Wizard</t>
  </si>
  <si>
    <t>Outdent Task</t>
  </si>
  <si>
    <r>
      <rPr>
        <sz val="9"/>
        <color rgb="FF000000"/>
        <rFont val="맑은 고딕"/>
        <family val="3"/>
        <charset val="129"/>
      </rPr>
      <t>확장자명을</t>
    </r>
    <r>
      <rPr>
        <sz val="9"/>
        <color rgb="FF000000"/>
        <rFont val="Calibri"/>
        <family val="2"/>
      </rPr>
      <t xml:space="preserve"> </t>
    </r>
    <r>
      <rPr>
        <sz val="9"/>
        <color rgb="FF000000"/>
        <rFont val="맑은 고딕"/>
        <family val="3"/>
        <charset val="129"/>
      </rPr>
      <t>입력하세요</t>
    </r>
    <r>
      <rPr>
        <sz val="9"/>
        <color rgb="FF000000"/>
        <rFont val="Calibri"/>
        <family val="2"/>
      </rPr>
      <t>.</t>
    </r>
  </si>
  <si>
    <r>
      <rPr>
        <sz val="9"/>
        <color rgb="FF000000"/>
        <rFont val="맑은 고딕"/>
        <family val="3"/>
        <charset val="129"/>
      </rPr>
      <t>산출물명이</t>
    </r>
    <r>
      <rPr>
        <sz val="9"/>
        <color rgb="FF000000"/>
        <rFont val="Calibri"/>
        <family val="2"/>
      </rPr>
      <t xml:space="preserve"> </t>
    </r>
    <r>
      <rPr>
        <sz val="9"/>
        <color rgb="FF000000"/>
        <rFont val="맑은 고딕"/>
        <family val="3"/>
        <charset val="129"/>
      </rPr>
      <t>비어있습니다</t>
    </r>
    <r>
      <rPr>
        <sz val="9"/>
        <color rgb="FF000000"/>
        <rFont val="Calibri"/>
        <family val="2"/>
      </rPr>
      <t>.</t>
    </r>
  </si>
  <si>
    <t>Program Info</t>
  </si>
  <si>
    <t>c:\ace\aaa.exe</t>
  </si>
  <si>
    <t>구현 우선 순위 재조정</t>
  </si>
  <si>
    <r>
      <rPr>
        <sz val="9"/>
        <color rgb="FF000000"/>
        <rFont val="맑은 고딕"/>
        <family val="3"/>
        <charset val="129"/>
      </rPr>
      <t>현재일까지</t>
    </r>
    <r>
      <rPr>
        <sz val="9"/>
        <color rgb="FF000000"/>
        <rFont val="Calibri"/>
        <family val="2"/>
      </rPr>
      <t xml:space="preserve"> </t>
    </r>
    <r>
      <rPr>
        <sz val="9"/>
        <color rgb="FF000000"/>
        <rFont val="맑은 고딕"/>
        <family val="3"/>
        <charset val="129"/>
      </rPr>
      <t>계획된</t>
    </r>
    <r>
      <rPr>
        <sz val="9"/>
        <color rgb="FF000000"/>
        <rFont val="Calibri"/>
        <family val="2"/>
      </rPr>
      <t xml:space="preserve"> </t>
    </r>
    <r>
      <rPr>
        <sz val="9"/>
        <color rgb="FF000000"/>
        <rFont val="맑은 고딕"/>
        <family val="3"/>
        <charset val="129"/>
      </rPr>
      <t>작업량</t>
    </r>
  </si>
  <si>
    <r>
      <rPr>
        <sz val="9"/>
        <color rgb="FF000000"/>
        <rFont val="맑은 고딕"/>
        <family val="3"/>
        <charset val="129"/>
      </rPr>
      <t>기존</t>
    </r>
    <r>
      <rPr>
        <sz val="9"/>
        <color rgb="FF000000"/>
        <rFont val="Calibri"/>
        <family val="2"/>
      </rPr>
      <t xml:space="preserve">Data </t>
    </r>
    <r>
      <rPr>
        <sz val="9"/>
        <color rgb="FF000000"/>
        <rFont val="맑은 고딕"/>
        <family val="3"/>
        <charset val="129"/>
      </rPr>
      <t>아래에</t>
    </r>
    <r>
      <rPr>
        <sz val="9"/>
        <color rgb="FF000000"/>
        <rFont val="Calibri"/>
        <family val="2"/>
      </rPr>
      <t xml:space="preserve"> </t>
    </r>
    <r>
      <rPr>
        <sz val="9"/>
        <color rgb="FF000000"/>
        <rFont val="맑은 고딕"/>
        <family val="3"/>
        <charset val="129"/>
      </rPr>
      <t>추가하기</t>
    </r>
  </si>
  <si>
    <r>
      <rPr>
        <sz val="9"/>
        <color rgb="FF000000"/>
        <rFont val="맑은 고딕"/>
        <family val="3"/>
        <charset val="129"/>
      </rPr>
      <t>이미</t>
    </r>
    <r>
      <rPr>
        <sz val="9"/>
        <color rgb="FF000000"/>
        <rFont val="Calibri"/>
        <family val="2"/>
      </rPr>
      <t xml:space="preserve"> </t>
    </r>
    <r>
      <rPr>
        <sz val="9"/>
        <color rgb="FF000000"/>
        <rFont val="맑은 고딕"/>
        <family val="3"/>
        <charset val="129"/>
      </rPr>
      <t>선택된</t>
    </r>
    <r>
      <rPr>
        <sz val="9"/>
        <color rgb="FF000000"/>
        <rFont val="Calibri"/>
        <family val="2"/>
      </rPr>
      <t xml:space="preserve"> </t>
    </r>
    <r>
      <rPr>
        <sz val="9"/>
        <color rgb="FF000000"/>
        <rFont val="맑은 고딕"/>
        <family val="3"/>
        <charset val="129"/>
      </rPr>
      <t>언어입니다</t>
    </r>
    <r>
      <rPr>
        <sz val="9"/>
        <color rgb="FF000000"/>
        <rFont val="Calibri"/>
        <family val="2"/>
      </rPr>
      <t>.</t>
    </r>
  </si>
  <si>
    <r>
      <rPr>
        <sz val="9"/>
        <color rgb="FF000000"/>
        <rFont val="맑은 고딕"/>
        <family val="3"/>
        <charset val="129"/>
      </rPr>
      <t>계획일정대비</t>
    </r>
    <r>
      <rPr>
        <sz val="9"/>
        <color rgb="FF000000"/>
        <rFont val="Calibri"/>
        <family val="2"/>
      </rPr>
      <t xml:space="preserve"> </t>
    </r>
    <r>
      <rPr>
        <sz val="9"/>
        <color rgb="FF000000"/>
        <rFont val="맑은 고딕"/>
        <family val="3"/>
        <charset val="129"/>
      </rPr>
      <t>진행된</t>
    </r>
    <r>
      <rPr>
        <sz val="9"/>
        <color rgb="FF000000"/>
        <rFont val="Calibri"/>
        <family val="2"/>
      </rPr>
      <t xml:space="preserve"> </t>
    </r>
    <r>
      <rPr>
        <sz val="9"/>
        <color rgb="FF000000"/>
        <rFont val="맑은 고딕"/>
        <family val="3"/>
        <charset val="129"/>
      </rPr>
      <t>작업량</t>
    </r>
  </si>
  <si>
    <r>
      <rPr>
        <sz val="9"/>
        <color rgb="FF000000"/>
        <rFont val="맑은 고딕"/>
        <family val="3"/>
        <charset val="129"/>
      </rPr>
      <t>계산할</t>
    </r>
    <r>
      <rPr>
        <sz val="9"/>
        <color rgb="FF000000"/>
        <rFont val="Calibri"/>
        <family val="2"/>
      </rPr>
      <t xml:space="preserve"> </t>
    </r>
    <r>
      <rPr>
        <sz val="9"/>
        <color rgb="FF000000"/>
        <rFont val="맑은 고딕"/>
        <family val="3"/>
        <charset val="129"/>
      </rPr>
      <t>입력자료가</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</si>
  <si>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시작일이</t>
    </r>
    <r>
      <rPr>
        <sz val="9"/>
        <color rgb="FF000000"/>
        <rFont val="Calibri"/>
        <family val="2"/>
      </rPr>
      <t xml:space="preserve"> </t>
    </r>
    <r>
      <rPr>
        <sz val="9"/>
        <color rgb="FF000000"/>
        <rFont val="맑은 고딕"/>
        <family val="3"/>
        <charset val="129"/>
      </rPr>
      <t>완료일보다</t>
    </r>
    <r>
      <rPr>
        <sz val="9"/>
        <color rgb="FF000000"/>
        <rFont val="Calibri"/>
        <family val="2"/>
      </rPr>
      <t xml:space="preserve"> </t>
    </r>
    <r>
      <rPr>
        <sz val="9"/>
        <color rgb="FF000000"/>
        <rFont val="맑은 고딕"/>
        <family val="3"/>
        <charset val="129"/>
      </rPr>
      <t>큽니다</t>
    </r>
    <r>
      <rPr>
        <sz val="9"/>
        <color rgb="FF000000"/>
        <rFont val="Calibri"/>
        <family val="2"/>
      </rPr>
      <t>.</t>
    </r>
  </si>
  <si>
    <r>
      <rPr>
        <sz val="9"/>
        <color rgb="FF000000"/>
        <rFont val="맑은 고딕"/>
        <family val="3"/>
        <charset val="129"/>
      </rPr>
      <t>작업그룹의</t>
    </r>
    <r>
      <rPr>
        <sz val="9"/>
        <color rgb="FF000000"/>
        <rFont val="Calibri"/>
        <family val="2"/>
      </rPr>
      <t xml:space="preserve"> </t>
    </r>
    <r>
      <rPr>
        <sz val="9"/>
        <color rgb="FF000000"/>
        <rFont val="맑은 고딕"/>
        <family val="3"/>
        <charset val="129"/>
      </rPr>
      <t>배경색</t>
    </r>
    <r>
      <rPr>
        <sz val="9"/>
        <color rgb="FF000000"/>
        <rFont val="Calibri"/>
        <family val="2"/>
      </rPr>
      <t xml:space="preserve"> </t>
    </r>
    <r>
      <rPr>
        <sz val="9"/>
        <color rgb="FF000000"/>
        <rFont val="맑은 고딕"/>
        <family val="3"/>
        <charset val="129"/>
      </rPr>
      <t>회색표시</t>
    </r>
  </si>
  <si>
    <r>
      <rPr>
        <sz val="9"/>
        <color rgb="FF000000"/>
        <rFont val="맑은 고딕"/>
        <family val="3"/>
        <charset val="129"/>
      </rPr>
      <t>입력된</t>
    </r>
    <r>
      <rPr>
        <sz val="9"/>
        <color rgb="FF000000"/>
        <rFont val="Calibri"/>
        <family val="2"/>
      </rPr>
      <t xml:space="preserve"> </t>
    </r>
    <r>
      <rPr>
        <sz val="9"/>
        <color rgb="FF000000"/>
        <rFont val="맑은 고딕"/>
        <family val="3"/>
        <charset val="129"/>
      </rPr>
      <t>자료가</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</si>
  <si>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기존</t>
    </r>
    <r>
      <rPr>
        <sz val="9"/>
        <color rgb="FF000000"/>
        <rFont val="Calibri"/>
        <family val="2"/>
      </rPr>
      <t>Data</t>
    </r>
    <r>
      <rPr>
        <sz val="9"/>
        <color rgb="FF000000"/>
        <rFont val="맑은 고딕"/>
        <family val="3"/>
        <charset val="129"/>
      </rPr>
      <t>에</t>
    </r>
    <r>
      <rPr>
        <sz val="9"/>
        <color rgb="FF000000"/>
        <rFont val="Calibri"/>
        <family val="2"/>
      </rPr>
      <t xml:space="preserve"> </t>
    </r>
    <r>
      <rPr>
        <sz val="9"/>
        <color rgb="FF000000"/>
        <rFont val="맑은 고딕"/>
        <family val="3"/>
        <charset val="129"/>
      </rPr>
      <t>추가하기</t>
    </r>
  </si>
  <si>
    <r>
      <rPr>
        <sz val="9"/>
        <color rgb="FF000000"/>
        <rFont val="맑은 고딕"/>
        <family val="3"/>
        <charset val="129"/>
      </rPr>
      <t>일</t>
    </r>
    <r>
      <rPr>
        <sz val="9"/>
        <color rgb="FF000000"/>
        <rFont val="Calibri"/>
        <family val="2"/>
      </rPr>
      <t xml:space="preserve"> (</t>
    </r>
    <r>
      <rPr>
        <sz val="9"/>
        <color rgb="FF000000"/>
        <rFont val="맑은 고딕"/>
        <family val="3"/>
        <charset val="129"/>
      </rPr>
      <t>월평균</t>
    </r>
    <r>
      <rPr>
        <sz val="9"/>
        <color rgb="FF000000"/>
        <rFont val="Calibri"/>
        <family val="2"/>
      </rPr>
      <t xml:space="preserve"> </t>
    </r>
    <r>
      <rPr>
        <sz val="9"/>
        <color rgb="FF000000"/>
        <rFont val="맑은 고딕"/>
        <family val="3"/>
        <charset val="129"/>
      </rPr>
      <t>근무일수</t>
    </r>
    <r>
      <rPr>
        <sz val="9"/>
        <color rgb="FF000000"/>
        <rFont val="Calibri"/>
        <family val="2"/>
      </rPr>
      <t>)</t>
    </r>
  </si>
  <si>
    <r>
      <rPr>
        <sz val="9"/>
        <color rgb="FF000000"/>
        <rFont val="맑은 고딕"/>
        <family val="3"/>
        <charset val="129"/>
      </rPr>
      <t>산출물</t>
    </r>
    <r>
      <rPr>
        <sz val="9"/>
        <color rgb="FF000000"/>
        <rFont val="Calibri"/>
        <family val="2"/>
      </rPr>
      <t xml:space="preserve"> </t>
    </r>
    <r>
      <rPr>
        <sz val="9"/>
        <color rgb="FF000000"/>
        <rFont val="맑은 고딕"/>
        <family val="3"/>
        <charset val="129"/>
      </rPr>
      <t>종류를</t>
    </r>
    <r>
      <rPr>
        <sz val="9"/>
        <color rgb="FF000000"/>
        <rFont val="Calibri"/>
        <family val="2"/>
      </rPr>
      <t xml:space="preserve"> </t>
    </r>
    <r>
      <rPr>
        <sz val="9"/>
        <color rgb="FF000000"/>
        <rFont val="맑은 고딕"/>
        <family val="3"/>
        <charset val="129"/>
      </rPr>
      <t>선택하세요</t>
    </r>
  </si>
  <si>
    <r>
      <rPr>
        <sz val="9"/>
        <color rgb="FF000000"/>
        <rFont val="맑은 고딕"/>
        <family val="3"/>
        <charset val="129"/>
      </rPr>
      <t>프로그램</t>
    </r>
    <r>
      <rPr>
        <sz val="9"/>
        <color rgb="FF000000"/>
        <rFont val="Calibri"/>
        <family val="2"/>
      </rPr>
      <t xml:space="preserve"> </t>
    </r>
    <r>
      <rPr>
        <sz val="9"/>
        <color rgb="FF000000"/>
        <rFont val="맑은 고딕"/>
        <family val="3"/>
        <charset val="129"/>
      </rPr>
      <t>최신버전</t>
    </r>
    <r>
      <rPr>
        <sz val="9"/>
        <color rgb="FF000000"/>
        <rFont val="Calibri"/>
        <family val="2"/>
      </rPr>
      <t xml:space="preserve"> </t>
    </r>
    <r>
      <rPr>
        <sz val="9"/>
        <color rgb="FF000000"/>
        <rFont val="맑은 고딕"/>
        <family val="3"/>
        <charset val="129"/>
      </rPr>
      <t>다운로드</t>
    </r>
  </si>
  <si>
    <r>
      <rPr>
        <sz val="9"/>
        <color rgb="FF000000"/>
        <rFont val="맑은 고딕"/>
        <family val="3"/>
        <charset val="129"/>
      </rPr>
      <t>가져온</t>
    </r>
    <r>
      <rPr>
        <sz val="9"/>
        <color rgb="FF000000"/>
        <rFont val="Calibri"/>
        <family val="2"/>
      </rPr>
      <t xml:space="preserve"> </t>
    </r>
    <r>
      <rPr>
        <sz val="9"/>
        <color rgb="FF000000"/>
        <rFont val="맑은 고딕"/>
        <family val="3"/>
        <charset val="129"/>
      </rPr>
      <t>자료의</t>
    </r>
    <r>
      <rPr>
        <sz val="9"/>
        <color rgb="FF000000"/>
        <rFont val="Calibri"/>
        <family val="2"/>
      </rPr>
      <t xml:space="preserve"> </t>
    </r>
    <r>
      <rPr>
        <sz val="9"/>
        <color rgb="FF000000"/>
        <rFont val="맑은 고딕"/>
        <family val="3"/>
        <charset val="129"/>
      </rPr>
      <t>행수</t>
    </r>
    <r>
      <rPr>
        <sz val="9"/>
        <color rgb="FF000000"/>
        <rFont val="Calibri"/>
        <family val="2"/>
      </rPr>
      <t xml:space="preserve"> : </t>
    </r>
  </si>
  <si>
    <r>
      <rPr>
        <sz val="9"/>
        <color rgb="FF000000"/>
        <rFont val="맑은 고딕"/>
        <family val="3"/>
        <charset val="129"/>
      </rPr>
      <t xml:space="preserve">실제
</t>
    </r>
    <r>
      <rPr>
        <sz val="9"/>
        <color rgb="FF000000"/>
        <rFont val="Calibri"/>
        <family val="2"/>
      </rPr>
      <t>\n</t>
    </r>
    <r>
      <rPr>
        <sz val="9"/>
        <color rgb="FF000000"/>
        <rFont val="맑은 고딕"/>
        <family val="3"/>
        <charset val="129"/>
      </rPr>
      <t>시작일</t>
    </r>
    <r>
      <rPr>
        <sz val="9"/>
        <color rgb="FF000000"/>
        <rFont val="Calibri"/>
        <family val="2"/>
      </rPr>
      <t>-</t>
    </r>
    <r>
      <rPr>
        <sz val="9"/>
        <color rgb="FF000000"/>
        <rFont val="맑은 고딕"/>
        <family val="3"/>
        <charset val="129"/>
      </rPr>
      <t>완료일</t>
    </r>
  </si>
  <si>
    <r>
      <rPr>
        <sz val="9"/>
        <color rgb="FF000000"/>
        <rFont val="맑은 고딕"/>
        <family val="3"/>
        <charset val="129"/>
      </rPr>
      <t>지정하지</t>
    </r>
    <r>
      <rPr>
        <sz val="9"/>
        <color rgb="FF000000"/>
        <rFont val="Calibri"/>
        <family val="2"/>
      </rPr>
      <t xml:space="preserve"> </t>
    </r>
    <r>
      <rPr>
        <sz val="9"/>
        <color rgb="FF000000"/>
        <rFont val="맑은 고딕"/>
        <family val="3"/>
        <charset val="129"/>
      </rPr>
      <t>않음</t>
    </r>
    <r>
      <rPr>
        <sz val="9"/>
        <color rgb="FF000000"/>
        <rFont val="Calibri"/>
        <family val="2"/>
      </rPr>
      <t>(</t>
    </r>
    <r>
      <rPr>
        <sz val="9"/>
        <color rgb="FF000000"/>
        <rFont val="맑은 고딕"/>
        <family val="3"/>
        <charset val="129"/>
      </rPr>
      <t>표준캘린더</t>
    </r>
    <r>
      <rPr>
        <sz val="9"/>
        <color rgb="FF000000"/>
        <rFont val="Calibri"/>
        <family val="2"/>
      </rPr>
      <t>)</t>
    </r>
  </si>
  <si>
    <r>
      <rPr>
        <sz val="9"/>
        <color rgb="FF000000"/>
        <rFont val="맑은 고딕"/>
        <family val="3"/>
        <charset val="129"/>
      </rPr>
      <t>기존</t>
    </r>
    <r>
      <rPr>
        <sz val="9"/>
        <color rgb="FF000000"/>
        <rFont val="Calibri"/>
        <family val="2"/>
      </rPr>
      <t xml:space="preserve">Data </t>
    </r>
    <r>
      <rPr>
        <sz val="9"/>
        <color rgb="FF000000"/>
        <rFont val="맑은 고딕"/>
        <family val="3"/>
        <charset val="129"/>
      </rPr>
      <t>지우고</t>
    </r>
    <r>
      <rPr>
        <sz val="9"/>
        <color rgb="FF000000"/>
        <rFont val="Calibri"/>
        <family val="2"/>
      </rPr>
      <t xml:space="preserve"> </t>
    </r>
    <r>
      <rPr>
        <sz val="9"/>
        <color rgb="FF000000"/>
        <rFont val="맑은 고딕"/>
        <family val="3"/>
        <charset val="129"/>
      </rPr>
      <t>가져오기</t>
    </r>
  </si>
  <si>
    <r>
      <rPr>
        <sz val="9"/>
        <color rgb="FF000000"/>
        <rFont val="맑은 고딕"/>
        <family val="3"/>
        <charset val="129"/>
      </rPr>
      <t>입력된</t>
    </r>
    <r>
      <rPr>
        <sz val="9"/>
        <color rgb="FF000000"/>
        <rFont val="Calibri"/>
        <family val="2"/>
      </rPr>
      <t xml:space="preserve"> </t>
    </r>
    <r>
      <rPr>
        <sz val="9"/>
        <color rgb="FF000000"/>
        <rFont val="맑은 고딕"/>
        <family val="3"/>
        <charset val="129"/>
      </rPr>
      <t>자료가</t>
    </r>
    <r>
      <rPr>
        <sz val="9"/>
        <color rgb="FF000000"/>
        <rFont val="Calibri"/>
        <family val="2"/>
      </rPr>
      <t xml:space="preserve"> </t>
    </r>
    <r>
      <rPr>
        <sz val="9"/>
        <color rgb="FF000000"/>
        <rFont val="맑은 고딕"/>
        <family val="3"/>
        <charset val="129"/>
      </rPr>
      <t>없습니다</t>
    </r>
  </si>
  <si>
    <r>
      <rPr>
        <sz val="9"/>
        <color rgb="FF000000"/>
        <rFont val="맑은 고딕"/>
        <family val="3"/>
        <charset val="129"/>
      </rPr>
      <t>가져오기</t>
    </r>
    <r>
      <rPr>
        <sz val="9"/>
        <color rgb="FF000000"/>
        <rFont val="Calibri"/>
        <family val="2"/>
      </rPr>
      <t xml:space="preserve"> </t>
    </r>
    <r>
      <rPr>
        <sz val="9"/>
        <color rgb="FF000000"/>
        <rFont val="맑은 고딕"/>
        <family val="3"/>
        <charset val="129"/>
      </rPr>
      <t>옵션을</t>
    </r>
    <r>
      <rPr>
        <sz val="9"/>
        <color rgb="FF000000"/>
        <rFont val="Calibri"/>
        <family val="2"/>
      </rPr>
      <t xml:space="preserve"> </t>
    </r>
    <r>
      <rPr>
        <sz val="9"/>
        <color rgb="FF000000"/>
        <rFont val="맑은 고딕"/>
        <family val="3"/>
        <charset val="129"/>
      </rPr>
      <t>선택하세요</t>
    </r>
    <r>
      <rPr>
        <sz val="9"/>
        <color rgb="FF000000"/>
        <rFont val="Calibri"/>
        <family val="2"/>
      </rPr>
      <t>.</t>
    </r>
  </si>
  <si>
    <r>
      <rPr>
        <sz val="9"/>
        <color rgb="FF000000"/>
        <rFont val="맑은 고딕"/>
        <family val="3"/>
        <charset val="129"/>
      </rPr>
      <t>언어가</t>
    </r>
    <r>
      <rPr>
        <sz val="9"/>
        <color rgb="FF000000"/>
        <rFont val="Calibri"/>
        <family val="2"/>
      </rPr>
      <t xml:space="preserve"> </t>
    </r>
    <r>
      <rPr>
        <sz val="9"/>
        <color rgb="FF000000"/>
        <rFont val="맑은 고딕"/>
        <family val="3"/>
        <charset val="129"/>
      </rPr>
      <t>선택되지</t>
    </r>
    <r>
      <rPr>
        <sz val="9"/>
        <color rgb="FF000000"/>
        <rFont val="Calibri"/>
        <family val="2"/>
      </rPr>
      <t xml:space="preserve"> </t>
    </r>
    <r>
      <rPr>
        <sz val="9"/>
        <color rgb="FF000000"/>
        <rFont val="맑은 고딕"/>
        <family val="3"/>
        <charset val="129"/>
      </rPr>
      <t>않았습니다</t>
    </r>
    <r>
      <rPr>
        <sz val="9"/>
        <color rgb="FF000000"/>
        <rFont val="Calibri"/>
        <family val="2"/>
      </rPr>
      <t>.</t>
    </r>
  </si>
  <si>
    <r>
      <rPr>
        <sz val="9"/>
        <color rgb="FF000000"/>
        <rFont val="맑은 고딕"/>
        <family val="3"/>
        <charset val="129"/>
      </rPr>
      <t>계획진척율</t>
    </r>
    <r>
      <rPr>
        <sz val="9"/>
        <color rgb="FF000000"/>
        <rFont val="Calibri"/>
        <family val="2"/>
      </rPr>
      <t xml:space="preserve"> </t>
    </r>
    <r>
      <rPr>
        <sz val="9"/>
        <color rgb="FF000000"/>
        <rFont val="맑은 고딕"/>
        <family val="3"/>
        <charset val="129"/>
      </rPr>
      <t>계산</t>
    </r>
    <r>
      <rPr>
        <sz val="9"/>
        <color rgb="FF000000"/>
        <rFont val="Calibri"/>
        <family val="2"/>
      </rPr>
      <t xml:space="preserve"> </t>
    </r>
    <r>
      <rPr>
        <sz val="9"/>
        <color rgb="FF000000"/>
        <rFont val="맑은 고딕"/>
        <family val="3"/>
        <charset val="129"/>
      </rPr>
      <t>기준일자</t>
    </r>
  </si>
  <si>
    <r>
      <rPr>
        <sz val="9"/>
        <color rgb="FF000000"/>
        <rFont val="맑은 고딕"/>
        <family val="3"/>
        <charset val="129"/>
      </rPr>
      <t>같은</t>
    </r>
    <r>
      <rPr>
        <sz val="9"/>
        <color rgb="FF000000"/>
        <rFont val="Calibri"/>
        <family val="2"/>
      </rPr>
      <t xml:space="preserve"> </t>
    </r>
    <r>
      <rPr>
        <sz val="9"/>
        <color rgb="FF000000"/>
        <rFont val="맑은 고딕"/>
        <family val="3"/>
        <charset val="129"/>
      </rPr>
      <t>필드에</t>
    </r>
    <r>
      <rPr>
        <sz val="9"/>
        <color rgb="FF000000"/>
        <rFont val="Calibri"/>
        <family val="2"/>
      </rPr>
      <t xml:space="preserve"> </t>
    </r>
    <r>
      <rPr>
        <sz val="9"/>
        <color rgb="FF000000"/>
        <rFont val="맑은 고딕"/>
        <family val="3"/>
        <charset val="129"/>
      </rPr>
      <t>작업명</t>
    </r>
    <r>
      <rPr>
        <sz val="9"/>
        <color rgb="FF000000"/>
        <rFont val="Calibri"/>
        <family val="2"/>
      </rPr>
      <t xml:space="preserve"> </t>
    </r>
    <r>
      <rPr>
        <sz val="9"/>
        <color rgb="FF000000"/>
        <rFont val="맑은 고딕"/>
        <family val="3"/>
        <charset val="129"/>
      </rPr>
      <t>표시</t>
    </r>
  </si>
  <si>
    <r>
      <rPr>
        <sz val="9"/>
        <color rgb="FF000000"/>
        <rFont val="맑은 고딕"/>
        <family val="3"/>
        <charset val="129"/>
      </rPr>
      <t>가져올</t>
    </r>
    <r>
      <rPr>
        <sz val="9"/>
        <color rgb="FF000000"/>
        <rFont val="Calibri"/>
        <family val="2"/>
      </rPr>
      <t xml:space="preserve"> </t>
    </r>
    <r>
      <rPr>
        <sz val="9"/>
        <color rgb="FF000000"/>
        <rFont val="맑은 고딕"/>
        <family val="3"/>
        <charset val="129"/>
      </rPr>
      <t>파일</t>
    </r>
    <r>
      <rPr>
        <sz val="9"/>
        <color rgb="FF000000"/>
        <rFont val="Calibri"/>
        <family val="2"/>
      </rPr>
      <t xml:space="preserve"> </t>
    </r>
    <r>
      <rPr>
        <sz val="9"/>
        <color rgb="FF000000"/>
        <rFont val="맑은 고딕"/>
        <family val="3"/>
        <charset val="129"/>
      </rPr>
      <t>종류</t>
    </r>
    <r>
      <rPr>
        <sz val="9"/>
        <color rgb="FF000000"/>
        <rFont val="Calibri"/>
        <family val="2"/>
      </rPr>
      <t xml:space="preserve"> </t>
    </r>
    <r>
      <rPr>
        <sz val="9"/>
        <color rgb="FF000000"/>
        <rFont val="맑은 고딕"/>
        <family val="3"/>
        <charset val="129"/>
      </rPr>
      <t>선택</t>
    </r>
  </si>
  <si>
    <r>
      <rPr>
        <sz val="9"/>
        <color rgb="FF000000"/>
        <rFont val="맑은 고딕"/>
        <family val="3"/>
        <charset val="129"/>
      </rPr>
      <t>전체</t>
    </r>
    <r>
      <rPr>
        <sz val="9"/>
        <color rgb="FF000000"/>
        <rFont val="Calibri"/>
        <family val="2"/>
      </rPr>
      <t xml:space="preserve"> </t>
    </r>
    <r>
      <rPr>
        <sz val="9"/>
        <color rgb="FF000000"/>
        <rFont val="맑은 고딕"/>
        <family val="3"/>
        <charset val="129"/>
      </rPr>
      <t>조회</t>
    </r>
    <r>
      <rPr>
        <sz val="9"/>
        <color rgb="FF000000"/>
        <rFont val="Calibri"/>
        <family val="2"/>
      </rPr>
      <t>(</t>
    </r>
    <r>
      <rPr>
        <sz val="9"/>
        <color rgb="FF000000"/>
        <rFont val="맑은 고딕"/>
        <family val="3"/>
        <charset val="129"/>
      </rPr>
      <t>필터</t>
    </r>
    <r>
      <rPr>
        <sz val="9"/>
        <color rgb="FF000000"/>
        <rFont val="Calibri"/>
        <family val="2"/>
      </rPr>
      <t xml:space="preserve"> </t>
    </r>
    <r>
      <rPr>
        <sz val="9"/>
        <color rgb="FF000000"/>
        <rFont val="맑은 고딕"/>
        <family val="3"/>
        <charset val="129"/>
      </rPr>
      <t>해제</t>
    </r>
    <r>
      <rPr>
        <sz val="9"/>
        <color rgb="FF000000"/>
        <rFont val="Calibri"/>
        <family val="2"/>
      </rPr>
      <t>)</t>
    </r>
  </si>
  <si>
    <r>
      <rPr>
        <sz val="9"/>
        <color rgb="FF000000"/>
        <rFont val="돋움"/>
        <family val="3"/>
        <charset val="129"/>
      </rPr>
      <t>실제</t>
    </r>
    <r>
      <rPr>
        <sz val="9"/>
        <color rgb="FF000000"/>
        <rFont val="Calibri"/>
        <family val="2"/>
      </rPr>
      <t xml:space="preserve"> </t>
    </r>
    <r>
      <rPr>
        <sz val="9"/>
        <color rgb="FF000000"/>
        <rFont val="돋움"/>
        <family val="3"/>
        <charset val="129"/>
      </rPr>
      <t>총기간</t>
    </r>
    <r>
      <rPr>
        <sz val="9"/>
        <color rgb="FF000000"/>
        <rFont val="Calibri"/>
        <family val="2"/>
      </rPr>
      <t>__(</t>
    </r>
    <r>
      <rPr>
        <sz val="9"/>
        <color rgb="FF000000"/>
        <rFont val="돋움"/>
        <family val="3"/>
        <charset val="129"/>
      </rPr>
      <t>전체</t>
    </r>
    <r>
      <rPr>
        <sz val="9"/>
        <color rgb="FF000000"/>
        <rFont val="Calibri"/>
        <family val="2"/>
      </rPr>
      <t xml:space="preserve"> </t>
    </r>
    <r>
      <rPr>
        <sz val="9"/>
        <color rgb="FF000000"/>
        <rFont val="돋움"/>
        <family val="3"/>
        <charset val="129"/>
      </rPr>
      <t>기간</t>
    </r>
    <r>
      <rPr>
        <sz val="9"/>
        <color rgb="FF000000"/>
        <rFont val="Calibri"/>
        <family val="2"/>
      </rPr>
      <t>)</t>
    </r>
  </si>
  <si>
    <t>The actual start date format of row number {1} in the {2} sheet is invalid.</t>
  </si>
  <si>
    <t>* You need to click the "Planned Progress" button to update the contents.</t>
  </si>
  <si>
    <t>The format of "Calculation Base Date of Planned %Work Complete" is invalid.</t>
  </si>
  <si>
    <t>The "%Work Complete" of row number {1} in the {2} sheet is not a number.</t>
  </si>
  <si>
    <t>You can not use "Microsoft Outlook". \nMake sure you properly installed it.</t>
  </si>
  <si>
    <t>Import new data into the Schedule sheet without clearing the existing  data</t>
  </si>
  <si>
    <t>This area can not be selected. Please select an area that contains tasks.</t>
  </si>
  <si>
    <t>* 주별로 프로젝트의 계획진적율을 보여줍니다.</t>
  </si>
  <si>
    <r>
      <rPr>
        <sz val="9"/>
        <color rgb="FF000000"/>
        <rFont val="맑은 고딕"/>
        <family val="3"/>
        <charset val="129"/>
      </rPr>
      <t>실적진척율은</t>
    </r>
    <r>
      <rPr>
        <sz val="9"/>
        <color rgb="FF000000"/>
        <rFont val="Calibri"/>
        <family val="2"/>
      </rPr>
      <t xml:space="preserve"> 0~100% </t>
    </r>
    <r>
      <rPr>
        <sz val="9"/>
        <color rgb="FF000000"/>
        <rFont val="맑은 고딕"/>
        <family val="3"/>
        <charset val="129"/>
      </rPr>
      <t>범위만</t>
    </r>
    <r>
      <rPr>
        <sz val="9"/>
        <color rgb="FF000000"/>
        <rFont val="Calibri"/>
        <family val="2"/>
      </rPr>
      <t xml:space="preserve"> </t>
    </r>
    <r>
      <rPr>
        <sz val="9"/>
        <color rgb="FF000000"/>
        <rFont val="맑은 고딕"/>
        <family val="3"/>
        <charset val="129"/>
      </rPr>
      <t>입력가능합니다</t>
    </r>
    <r>
      <rPr>
        <sz val="9"/>
        <color rgb="FF000000"/>
        <rFont val="Calibri"/>
        <family val="2"/>
      </rPr>
      <t>.</t>
    </r>
  </si>
  <si>
    <t>Add to MS Outlook Calendar</t>
  </si>
  <si>
    <t>Managing Schedule Changes</t>
  </si>
  <si>
    <r>
      <rPr>
        <sz val="9"/>
        <color rgb="FF000000"/>
        <rFont val="맑은 고딕"/>
        <family val="3"/>
        <charset val="129"/>
      </rPr>
      <t>필드명이</t>
    </r>
    <r>
      <rPr>
        <sz val="9"/>
        <color rgb="FF000000"/>
        <rFont val="Calibri"/>
        <family val="2"/>
      </rPr>
      <t xml:space="preserve"> </t>
    </r>
    <r>
      <rPr>
        <sz val="9"/>
        <color rgb="FF000000"/>
        <rFont val="맑은 고딕"/>
        <family val="3"/>
        <charset val="129"/>
      </rPr>
      <t>비어있는</t>
    </r>
    <r>
      <rPr>
        <sz val="9"/>
        <color rgb="FF000000"/>
        <rFont val="Calibri"/>
        <family val="2"/>
      </rPr>
      <t xml:space="preserve"> </t>
    </r>
    <r>
      <rPr>
        <sz val="9"/>
        <color rgb="FF000000"/>
        <rFont val="맑은 고딕"/>
        <family val="3"/>
        <charset val="129"/>
      </rPr>
      <t>항목은</t>
    </r>
    <r>
      <rPr>
        <sz val="9"/>
        <color rgb="FF000000"/>
        <rFont val="Calibri"/>
        <family val="2"/>
      </rPr>
      <t xml:space="preserve"> </t>
    </r>
    <r>
      <rPr>
        <sz val="9"/>
        <color rgb="FF000000"/>
        <rFont val="맑은 고딕"/>
        <family val="3"/>
        <charset val="129"/>
      </rPr>
      <t>선택할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</si>
  <si>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시작일의</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</si>
  <si>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완료일의</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</si>
  <si>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t>Name:chkInclude2SelectList7</t>
  </si>
  <si>
    <t>Import common Excel file</t>
  </si>
  <si>
    <t>Name:chkWBSUpdateExecuteYN</t>
  </si>
  <si>
    <t>Actually performed workload</t>
  </si>
  <si>
    <t>Name:lastTranslatedLanguage</t>
  </si>
  <si>
    <t>Name:chkInclude2SelectList1</t>
  </si>
  <si>
    <t>Name:chkInclude2SelectList6</t>
  </si>
  <si>
    <t>Name:languageSelectionType</t>
  </si>
  <si>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진행율</t>
    </r>
    <r>
      <rPr>
        <sz val="9"/>
        <color rgb="FF000000"/>
        <rFont val="Calibri"/>
        <family val="2"/>
      </rPr>
      <t xml:space="preserve"> - </t>
    </r>
    <r>
      <rPr>
        <sz val="9"/>
        <color rgb="FF000000"/>
        <rFont val="맑은 고딕"/>
        <family val="3"/>
        <charset val="129"/>
      </rPr>
      <t>일정변경</t>
    </r>
    <r>
      <rPr>
        <sz val="9"/>
        <color rgb="FF000000"/>
        <rFont val="Calibri"/>
        <family val="2"/>
      </rPr>
      <t xml:space="preserve"> </t>
    </r>
    <r>
      <rPr>
        <sz val="9"/>
        <color rgb="FF000000"/>
        <rFont val="맑은 고딕"/>
        <family val="3"/>
        <charset val="129"/>
      </rPr>
      <t>관리하지</t>
    </r>
    <r>
      <rPr>
        <sz val="9"/>
        <color rgb="FF000000"/>
        <rFont val="Calibri"/>
        <family val="2"/>
      </rPr>
      <t xml:space="preserve"> </t>
    </r>
    <r>
      <rPr>
        <sz val="9"/>
        <color rgb="FF000000"/>
        <rFont val="맑은 고딕"/>
        <family val="3"/>
        <charset val="129"/>
      </rPr>
      <t>않을때</t>
    </r>
  </si>
  <si>
    <t>양수이면 계획보다 빨리 진행, 음수이면 지연</t>
  </si>
  <si>
    <t>OPTIONS_DELIVERABLES_MGT</t>
  </si>
  <si>
    <r>
      <rPr>
        <sz val="9"/>
        <color rgb="FF000000"/>
        <rFont val="맑은 고딕"/>
        <family val="3"/>
        <charset val="129"/>
      </rPr>
      <t>자료를</t>
    </r>
    <r>
      <rPr>
        <sz val="9"/>
        <color rgb="FF000000"/>
        <rFont val="Calibri"/>
        <family val="2"/>
      </rPr>
      <t xml:space="preserve"> </t>
    </r>
    <r>
      <rPr>
        <sz val="9"/>
        <color rgb="FF000000"/>
        <rFont val="맑은 고딕"/>
        <family val="3"/>
        <charset val="129"/>
      </rPr>
      <t>가져옵니다</t>
    </r>
    <r>
      <rPr>
        <sz val="9"/>
        <color rgb="FF000000"/>
        <rFont val="Calibri"/>
        <family val="2"/>
      </rPr>
      <t xml:space="preserve">. </t>
    </r>
    <r>
      <rPr>
        <sz val="9"/>
        <color rgb="FF000000"/>
        <rFont val="맑은 고딕"/>
        <family val="3"/>
        <charset val="129"/>
      </rPr>
      <t>잠시만</t>
    </r>
    <r>
      <rPr>
        <sz val="9"/>
        <color rgb="FF000000"/>
        <rFont val="Calibri"/>
        <family val="2"/>
      </rPr>
      <t xml:space="preserve"> </t>
    </r>
    <r>
      <rPr>
        <sz val="9"/>
        <color rgb="FF000000"/>
        <rFont val="맑은 고딕"/>
        <family val="3"/>
        <charset val="129"/>
      </rPr>
      <t>기다려주세요</t>
    </r>
    <r>
      <rPr>
        <sz val="9"/>
        <color rgb="FF000000"/>
        <rFont val="Calibri"/>
        <family val="2"/>
      </rPr>
      <t>...</t>
    </r>
  </si>
  <si>
    <t>Name:selectedLanguageList</t>
  </si>
  <si>
    <t>Name:chkInclude2SelectList2</t>
  </si>
  <si>
    <t>Planned %Work Complete(A)</t>
  </si>
  <si>
    <t>Name:txtAutoDefinedBasePath</t>
  </si>
  <si>
    <t>Name:chkInclude2SelectList3</t>
  </si>
  <si>
    <t>Name:scheduleSheetPosition</t>
  </si>
  <si>
    <t>Performed Work(C)\nMan-day</t>
  </si>
  <si>
    <t>Display  % Work Complete</t>
  </si>
  <si>
    <t>Only Saturdays and Sundays</t>
  </si>
  <si>
    <r>
      <rPr>
        <sz val="9"/>
        <color rgb="FF000000"/>
        <rFont val="맑은 고딕"/>
        <family val="3"/>
        <charset val="129"/>
      </rPr>
      <t>별</t>
    </r>
    <r>
      <rPr>
        <sz val="9"/>
        <color rgb="FF000000"/>
        <rFont val="Calibri"/>
        <family val="2"/>
      </rPr>
      <t>(*)</t>
    </r>
    <r>
      <rPr>
        <sz val="9"/>
        <color rgb="FF000000"/>
        <rFont val="맑은 고딕"/>
        <family val="3"/>
        <charset val="129"/>
      </rPr>
      <t>표시는</t>
    </r>
    <r>
      <rPr>
        <sz val="9"/>
        <color rgb="FF000000"/>
        <rFont val="Calibri"/>
        <family val="2"/>
      </rPr>
      <t xml:space="preserve"> </t>
    </r>
    <r>
      <rPr>
        <sz val="9"/>
        <color rgb="FF000000"/>
        <rFont val="맑은 고딕"/>
        <family val="3"/>
        <charset val="129"/>
      </rPr>
      <t>필수입력</t>
    </r>
    <r>
      <rPr>
        <sz val="9"/>
        <color rgb="FF000000"/>
        <rFont val="Calibri"/>
        <family val="2"/>
      </rPr>
      <t xml:space="preserve">, </t>
    </r>
    <r>
      <rPr>
        <sz val="9"/>
        <color rgb="FF000000"/>
        <rFont val="맑은 고딕"/>
        <family val="3"/>
        <charset val="129"/>
      </rPr>
      <t>주황색열은</t>
    </r>
    <r>
      <rPr>
        <sz val="9"/>
        <color rgb="FF000000"/>
        <rFont val="Calibri"/>
        <family val="2"/>
      </rPr>
      <t xml:space="preserve"> </t>
    </r>
    <r>
      <rPr>
        <sz val="9"/>
        <color rgb="FF000000"/>
        <rFont val="맑은 고딕"/>
        <family val="3"/>
        <charset val="129"/>
      </rPr>
      <t>자동계산</t>
    </r>
  </si>
  <si>
    <t>Name:chkInclude2SelectList5</t>
  </si>
  <si>
    <t>Name:chkInclude2SelectList8</t>
  </si>
  <si>
    <t>Download the latest version</t>
  </si>
  <si>
    <r>
      <rPr>
        <sz val="9"/>
        <color rgb="FF000000"/>
        <rFont val="맑은 고딕"/>
        <family val="3"/>
        <charset val="129"/>
      </rPr>
      <t>한곳만</t>
    </r>
    <r>
      <rPr>
        <sz val="9"/>
        <color rgb="FF000000"/>
        <rFont val="Calibri"/>
        <family val="2"/>
      </rPr>
      <t xml:space="preserve"> </t>
    </r>
    <r>
      <rPr>
        <sz val="9"/>
        <color rgb="FF000000"/>
        <rFont val="맑은 고딕"/>
        <family val="3"/>
        <charset val="129"/>
      </rPr>
      <t>선택하세요</t>
    </r>
    <r>
      <rPr>
        <sz val="9"/>
        <color rgb="FF000000"/>
        <rFont val="Calibri"/>
        <family val="2"/>
      </rPr>
      <t xml:space="preserve">. </t>
    </r>
    <r>
      <rPr>
        <sz val="9"/>
        <color rgb="FF000000"/>
        <rFont val="맑은 고딕"/>
        <family val="3"/>
        <charset val="129"/>
      </rPr>
      <t>현재</t>
    </r>
    <r>
      <rPr>
        <sz val="9"/>
        <color rgb="FF000000"/>
        <rFont val="Calibri"/>
        <family val="2"/>
      </rPr>
      <t xml:space="preserve"> {}</t>
    </r>
    <r>
      <rPr>
        <sz val="9"/>
        <color rgb="FF000000"/>
        <rFont val="맑은 고딕"/>
        <family val="3"/>
        <charset val="129"/>
      </rPr>
      <t>곳이</t>
    </r>
    <r>
      <rPr>
        <sz val="9"/>
        <color rgb="FF000000"/>
        <rFont val="Calibri"/>
        <family val="2"/>
      </rPr>
      <t xml:space="preserve"> </t>
    </r>
    <r>
      <rPr>
        <sz val="9"/>
        <color rgb="FF000000"/>
        <rFont val="맑은 고딕"/>
        <family val="3"/>
        <charset val="129"/>
      </rPr>
      <t>선택되었습니다</t>
    </r>
    <r>
      <rPr>
        <sz val="9"/>
        <color rgb="FF000000"/>
        <rFont val="Calibri"/>
        <family val="2"/>
      </rPr>
      <t>.</t>
    </r>
  </si>
  <si>
    <t>Choose an import option.</t>
  </si>
  <si>
    <r>
      <rPr>
        <sz val="9"/>
        <color rgb="FF000000"/>
        <rFont val="맑은 고딕"/>
        <family val="3"/>
        <charset val="129"/>
      </rPr>
      <t>양수이면</t>
    </r>
    <r>
      <rPr>
        <sz val="9"/>
        <color rgb="FF000000"/>
        <rFont val="Calibri"/>
        <family val="2"/>
      </rPr>
      <t xml:space="preserve"> </t>
    </r>
    <r>
      <rPr>
        <sz val="9"/>
        <color rgb="FF000000"/>
        <rFont val="맑은 고딕"/>
        <family val="3"/>
        <charset val="129"/>
      </rPr>
      <t>계획보다</t>
    </r>
    <r>
      <rPr>
        <sz val="9"/>
        <color rgb="FF000000"/>
        <rFont val="Calibri"/>
        <family val="2"/>
      </rPr>
      <t xml:space="preserve"> </t>
    </r>
    <r>
      <rPr>
        <sz val="9"/>
        <color rgb="FF000000"/>
        <rFont val="맑은 고딕"/>
        <family val="3"/>
        <charset val="129"/>
      </rPr>
      <t>빨리</t>
    </r>
    <r>
      <rPr>
        <sz val="9"/>
        <color rgb="FF000000"/>
        <rFont val="Calibri"/>
        <family val="2"/>
      </rPr>
      <t xml:space="preserve"> </t>
    </r>
    <r>
      <rPr>
        <sz val="9"/>
        <color rgb="FF000000"/>
        <rFont val="맑은 고딕"/>
        <family val="3"/>
        <charset val="129"/>
      </rPr>
      <t>진행</t>
    </r>
    <r>
      <rPr>
        <sz val="9"/>
        <color rgb="FF000000"/>
        <rFont val="Calibri"/>
        <family val="2"/>
      </rPr>
      <t xml:space="preserve">, </t>
    </r>
    <r>
      <rPr>
        <sz val="9"/>
        <color rgb="FF000000"/>
        <rFont val="맑은 고딕"/>
        <family val="3"/>
        <charset val="129"/>
      </rPr>
      <t>음수이면</t>
    </r>
    <r>
      <rPr>
        <sz val="9"/>
        <color rgb="FF000000"/>
        <rFont val="Calibri"/>
        <family val="2"/>
      </rPr>
      <t xml:space="preserve"> </t>
    </r>
    <r>
      <rPr>
        <sz val="9"/>
        <color rgb="FF000000"/>
        <rFont val="맑은 고딕"/>
        <family val="3"/>
        <charset val="129"/>
      </rPr>
      <t>지연</t>
    </r>
  </si>
  <si>
    <t>Variance(Actual-Planned)</t>
  </si>
  <si>
    <r>
      <rPr>
        <sz val="9"/>
        <color rgb="FF000000"/>
        <rFont val="맑은 고딕"/>
        <family val="3"/>
        <charset val="129"/>
      </rPr>
      <t>총</t>
    </r>
    <r>
      <rPr>
        <sz val="9"/>
        <color rgb="FF000000"/>
        <rFont val="Calibri"/>
        <family val="2"/>
      </rPr>
      <t xml:space="preserve"> </t>
    </r>
    <r>
      <rPr>
        <sz val="9"/>
        <color rgb="FF000000"/>
        <rFont val="맑은 고딕"/>
        <family val="3"/>
        <charset val="129"/>
      </rPr>
      <t xml:space="preserve">작업량
</t>
    </r>
    <r>
      <rPr>
        <sz val="9"/>
        <color rgb="FF000000"/>
        <rFont val="Calibri"/>
        <family val="2"/>
      </rPr>
      <t>(</t>
    </r>
    <r>
      <rPr>
        <sz val="9"/>
        <color rgb="FF000000"/>
        <rFont val="맑은 고딕"/>
        <family val="3"/>
        <charset val="129"/>
      </rPr>
      <t>총</t>
    </r>
    <r>
      <rPr>
        <sz val="9"/>
        <color rgb="FF000000"/>
        <rFont val="Calibri"/>
        <family val="2"/>
      </rPr>
      <t xml:space="preserve">ManDay,
</t>
    </r>
    <r>
      <rPr>
        <sz val="9"/>
        <color rgb="FF000000"/>
        <rFont val="맑은 고딕"/>
        <family val="3"/>
        <charset val="129"/>
      </rPr>
      <t>가중치</t>
    </r>
    <r>
      <rPr>
        <sz val="9"/>
        <color rgb="FF000000"/>
        <rFont val="Calibri"/>
        <family val="2"/>
      </rPr>
      <t xml:space="preserve"> </t>
    </r>
    <r>
      <rPr>
        <sz val="9"/>
        <color rgb="FF000000"/>
        <rFont val="맑은 고딕"/>
        <family val="3"/>
        <charset val="129"/>
      </rPr>
      <t>감안</t>
    </r>
    <r>
      <rPr>
        <sz val="9"/>
        <color rgb="FF000000"/>
        <rFont val="Calibri"/>
        <family val="2"/>
      </rPr>
      <t>)</t>
    </r>
  </si>
  <si>
    <t>Name:chkInclude2SelectList4</t>
  </si>
  <si>
    <t>Planned %Work Complete(B/A)</t>
  </si>
  <si>
    <t>Name:optScheduleChangeMgt</t>
  </si>
  <si>
    <t>Name:txtGanttChartZoomRatio</t>
  </si>
  <si>
    <t>Please enter the extension.</t>
  </si>
  <si>
    <t>Name:applyUserInputFirst</t>
  </si>
  <si>
    <t>Planned Work(B)\nMan-day</t>
  </si>
  <si>
    <t xml:space="preserve">Rows of imported data : </t>
  </si>
  <si>
    <t>Open Deliverables Folder</t>
  </si>
  <si>
    <t>Schedule Change Management</t>
  </si>
  <si>
    <t>Actual Total Work\nMan-day</t>
  </si>
  <si>
    <t>You can not enter any more.</t>
  </si>
  <si>
    <t>Execution path of Program</t>
  </si>
  <si>
    <t>Total Work\n(Total ManDay)</t>
  </si>
  <si>
    <r>
      <t xml:space="preserve">  XLGantt 2.1.0 </t>
    </r>
    <r>
      <rPr>
        <b/>
        <sz val="14"/>
        <color rgb="FFFF8800"/>
        <rFont val="돋움"/>
        <family val="3"/>
        <charset val="129"/>
      </rPr>
      <t>ⓒ</t>
    </r>
    <r>
      <rPr>
        <b/>
        <sz val="14"/>
        <color rgb="FFFF8800"/>
        <rFont val="Calibri"/>
        <family val="2"/>
      </rPr>
      <t>XLWorks</t>
    </r>
  </si>
  <si>
    <t>Name:txtPgmPath2</t>
  </si>
  <si>
    <t>PROGRAM_SITE_DISP</t>
  </si>
  <si>
    <t>Check for Updates</t>
  </si>
  <si>
    <t>Name:txtPgmName4</t>
  </si>
  <si>
    <r>
      <rPr>
        <sz val="9"/>
        <color rgb="FF000000"/>
        <rFont val="맑은 고딕"/>
        <family val="3"/>
        <charset val="129"/>
      </rPr>
      <t>끝날짜</t>
    </r>
    <r>
      <rPr>
        <sz val="9"/>
        <color rgb="FF000000"/>
        <rFont val="Calibri"/>
        <family val="2"/>
      </rPr>
      <t xml:space="preserve"> </t>
    </r>
    <r>
      <rPr>
        <sz val="9"/>
        <color rgb="FF000000"/>
        <rFont val="맑은 고딕"/>
        <family val="3"/>
        <charset val="129"/>
      </rPr>
      <t>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</si>
  <si>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t>Name:txtFileExt3</t>
  </si>
  <si>
    <t>Name:txtPgmName5</t>
  </si>
  <si>
    <t>Name:savePathType</t>
  </si>
  <si>
    <t>Name:txtPgmName8</t>
  </si>
  <si>
    <t>Name:txtPgmName6</t>
  </si>
  <si>
    <t>%Work Complete(B)</t>
  </si>
  <si>
    <t>Name:txtPgmName1</t>
  </si>
  <si>
    <t>Choose a language.</t>
  </si>
  <si>
    <t>Name:projectName</t>
  </si>
  <si>
    <t>Name:txtPgmPath6</t>
  </si>
  <si>
    <r>
      <rPr>
        <sz val="9"/>
        <color rgb="FF000000"/>
        <rFont val="맑은 고딕"/>
        <family val="3"/>
        <charset val="129"/>
      </rPr>
      <t>가중치의</t>
    </r>
    <r>
      <rPr>
        <sz val="9"/>
        <color rgb="FF000000"/>
        <rFont val="Calibri"/>
        <family val="2"/>
      </rPr>
      <t xml:space="preserve"> </t>
    </r>
    <r>
      <rPr>
        <sz val="9"/>
        <color rgb="FF000000"/>
        <rFont val="맑은 고딕"/>
        <family val="3"/>
        <charset val="129"/>
      </rPr>
      <t>숫자형식이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</si>
  <si>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t>Name:txtFileExt6</t>
  </si>
  <si>
    <t>Name:txtFileExt5</t>
  </si>
  <si>
    <t>Name:txtDefinedPath</t>
  </si>
  <si>
    <t>Name:txtPgmPath5</t>
  </si>
  <si>
    <t>Inside of the chart</t>
  </si>
  <si>
    <t>Gantt Chart Display</t>
  </si>
  <si>
    <t>Name:taskDispInSub</t>
  </si>
  <si>
    <t>Name:txtPgmPath4</t>
  </si>
  <si>
    <t>Name:txtPgmName3</t>
  </si>
  <si>
    <t>Name:txtPgmName2</t>
  </si>
  <si>
    <t>Name:txtFileExt2</t>
  </si>
  <si>
    <t>Name:txtPgmPath3</t>
  </si>
  <si>
    <r>
      <rPr>
        <sz val="9"/>
        <color rgb="FF000000"/>
        <rFont val="맑은 고딕"/>
        <family val="3"/>
        <charset val="129"/>
      </rPr>
      <t>컴퓨터</t>
    </r>
    <r>
      <rPr>
        <sz val="9"/>
        <color rgb="FF000000"/>
        <rFont val="Calibri"/>
        <family val="2"/>
      </rPr>
      <t xml:space="preserve"> O/S</t>
    </r>
    <r>
      <rPr>
        <sz val="9"/>
        <color rgb="FF000000"/>
        <rFont val="맑은 고딕"/>
        <family val="3"/>
        <charset val="129"/>
      </rPr>
      <t>와</t>
    </r>
    <r>
      <rPr>
        <sz val="9"/>
        <color rgb="FF000000"/>
        <rFont val="Calibri"/>
        <family val="2"/>
      </rPr>
      <t xml:space="preserve"> </t>
    </r>
    <r>
      <rPr>
        <sz val="9"/>
        <color rgb="FF000000"/>
        <rFont val="맑은 고딕"/>
        <family val="3"/>
        <charset val="129"/>
      </rPr>
      <t>관계없이</t>
    </r>
    <r>
      <rPr>
        <sz val="9"/>
        <color rgb="FF000000"/>
        <rFont val="Calibri"/>
        <family val="2"/>
      </rPr>
      <t xml:space="preserve"> </t>
    </r>
    <r>
      <rPr>
        <sz val="9"/>
        <color rgb="FF000000"/>
        <rFont val="맑은 고딕"/>
        <family val="3"/>
        <charset val="129"/>
      </rPr>
      <t>직접</t>
    </r>
    <r>
      <rPr>
        <sz val="9"/>
        <color rgb="FF000000"/>
        <rFont val="Calibri"/>
        <family val="2"/>
      </rPr>
      <t xml:space="preserve"> </t>
    </r>
    <r>
      <rPr>
        <sz val="9"/>
        <color rgb="FF000000"/>
        <rFont val="맑은 고딕"/>
        <family val="3"/>
        <charset val="129"/>
      </rPr>
      <t>선택</t>
    </r>
  </si>
  <si>
    <t>Name:txtFileExt1</t>
  </si>
  <si>
    <t>Name:txtPgmName7</t>
  </si>
  <si>
    <t>Name:txtFileExt4</t>
  </si>
  <si>
    <t>Name:txtPgmPath7</t>
  </si>
  <si>
    <t>Name:txtFileExt8</t>
  </si>
  <si>
    <t>Name:projectEndDate</t>
  </si>
  <si>
    <t>Name:txtPgmPath1</t>
  </si>
  <si>
    <t>Name:txtFileExt7</t>
  </si>
  <si>
    <t>OPTIONS_WBS_GANTT</t>
  </si>
  <si>
    <t>Actual Finish Date</t>
  </si>
  <si>
    <t>Enabled Languages</t>
  </si>
  <si>
    <t>Standard Calendar</t>
  </si>
  <si>
    <t>Project Information</t>
  </si>
  <si>
    <t>* Choose a language</t>
  </si>
  <si>
    <t>Actual Start Date</t>
  </si>
  <si>
    <t>%Work Complete(C/A)</t>
  </si>
  <si>
    <t>Right of the chart</t>
  </si>
  <si>
    <t>Weight is invalid.</t>
  </si>
  <si>
    <t>timebucket_start</t>
  </si>
  <si>
    <t>admin@xlworks.net</t>
  </si>
  <si>
    <t>Open Deliverables</t>
  </si>
  <si>
    <t>Deliverables field.</t>
  </si>
  <si>
    <t>Planned Progress</t>
  </si>
  <si>
    <t>The count of level</t>
  </si>
  <si>
    <t>Planned workload</t>
  </si>
  <si>
    <t>http://xlworks.net</t>
  </si>
  <si>
    <t>Planned\nDuration</t>
  </si>
  <si>
    <t>Name:txtPgmPath8</t>
  </si>
  <si>
    <t>Workload\n(Man-Day)</t>
  </si>
  <si>
    <t>Project Scheduler</t>
  </si>
  <si>
    <t>By %Work Complete</t>
  </si>
  <si>
    <t>Name:ganttColWidth</t>
  </si>
  <si>
    <r>
      <rPr>
        <sz val="9"/>
        <color rgb="FF000000"/>
        <rFont val="맑은 고딕"/>
        <family val="3"/>
        <charset val="129"/>
      </rPr>
      <t>산출물</t>
    </r>
    <r>
      <rPr>
        <sz val="9"/>
        <color rgb="FF000000"/>
        <rFont val="Calibri"/>
        <family val="2"/>
      </rPr>
      <t xml:space="preserve"> </t>
    </r>
    <r>
      <rPr>
        <sz val="9"/>
        <color rgb="FF000000"/>
        <rFont val="맑은 고딕"/>
        <family val="3"/>
        <charset val="129"/>
      </rPr>
      <t>관리를</t>
    </r>
    <r>
      <rPr>
        <sz val="9"/>
        <color rgb="FF000000"/>
        <rFont val="Calibri"/>
        <family val="2"/>
      </rPr>
      <t xml:space="preserve"> </t>
    </r>
    <r>
      <rPr>
        <sz val="9"/>
        <color rgb="FF000000"/>
        <rFont val="맑은 고딕"/>
        <family val="3"/>
        <charset val="129"/>
      </rPr>
      <t>할</t>
    </r>
    <r>
      <rPr>
        <sz val="9"/>
        <color rgb="FF000000"/>
        <rFont val="Calibri"/>
        <family val="2"/>
      </rPr>
      <t xml:space="preserve"> </t>
    </r>
    <r>
      <rPr>
        <sz val="9"/>
        <color rgb="FF000000"/>
        <rFont val="맑은 고딕"/>
        <family val="3"/>
        <charset val="129"/>
      </rPr>
      <t>경우에</t>
    </r>
    <r>
      <rPr>
        <sz val="9"/>
        <color rgb="FF000000"/>
        <rFont val="Calibri"/>
        <family val="2"/>
      </rPr>
      <t xml:space="preserve"> </t>
    </r>
    <r>
      <rPr>
        <sz val="9"/>
        <color rgb="FF000000"/>
        <rFont val="맑은 고딕"/>
        <family val="3"/>
        <charset val="129"/>
      </rPr>
      <t>체크하세요</t>
    </r>
  </si>
  <si>
    <r>
      <rPr>
        <sz val="9"/>
        <color rgb="FF000000"/>
        <rFont val="맑은 고딕"/>
        <family val="3"/>
        <charset val="129"/>
      </rPr>
      <t>시작날짜</t>
    </r>
    <r>
      <rPr>
        <sz val="9"/>
        <color rgb="FF000000"/>
        <rFont val="Calibri"/>
        <family val="2"/>
      </rPr>
      <t xml:space="preserve"> </t>
    </r>
    <r>
      <rPr>
        <sz val="9"/>
        <color rgb="FF000000"/>
        <rFont val="맑은 고딕"/>
        <family val="3"/>
        <charset val="129"/>
      </rPr>
      <t>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</si>
  <si>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t>Planned__Duration</t>
  </si>
  <si>
    <t>timebucket_finish</t>
  </si>
  <si>
    <r>
      <rPr>
        <sz val="9"/>
        <color rgb="FF000000"/>
        <rFont val="맑은 고딕"/>
        <family val="3"/>
        <charset val="129"/>
      </rPr>
      <t>진척작업량</t>
    </r>
    <r>
      <rPr>
        <sz val="9"/>
        <color rgb="FF000000"/>
        <rFont val="Calibri"/>
        <family val="2"/>
      </rPr>
      <t>( C )\nMan-day</t>
    </r>
  </si>
  <si>
    <t>Name:actualRateDisp</t>
  </si>
  <si>
    <t>Display resource</t>
  </si>
  <si>
    <t>Left of the chart</t>
  </si>
  <si>
    <t>Drawing Gantt chart</t>
  </si>
  <si>
    <t>OPTIONS_LANGUAGE</t>
  </si>
  <si>
    <t>Actual\nTotal Work</t>
  </si>
  <si>
    <t>Workloads by Months</t>
  </si>
  <si>
    <t>for import columun</t>
  </si>
  <si>
    <t>Available Languages</t>
  </si>
  <si>
    <t xml:space="preserve">Display task name </t>
  </si>
  <si>
    <t>Workloads by Weeks</t>
  </si>
  <si>
    <r>
      <rPr>
        <sz val="9"/>
        <color rgb="FF000000"/>
        <rFont val="맑은 고딕"/>
        <family val="3"/>
        <charset val="129"/>
      </rPr>
      <t>필터를</t>
    </r>
    <r>
      <rPr>
        <sz val="9"/>
        <color rgb="FF000000"/>
        <rFont val="Calibri"/>
        <family val="2"/>
      </rPr>
      <t xml:space="preserve"> </t>
    </r>
    <r>
      <rPr>
        <sz val="9"/>
        <color rgb="FF000000"/>
        <rFont val="맑은 고딕"/>
        <family val="3"/>
        <charset val="129"/>
      </rPr>
      <t>해제하고</t>
    </r>
    <r>
      <rPr>
        <sz val="9"/>
        <color rgb="FF000000"/>
        <rFont val="Calibri"/>
        <family val="2"/>
      </rPr>
      <t xml:space="preserve"> </t>
    </r>
    <r>
      <rPr>
        <sz val="9"/>
        <color rgb="FF000000"/>
        <rFont val="맑은 고딕"/>
        <family val="3"/>
        <charset val="129"/>
      </rPr>
      <t>작업을</t>
    </r>
    <r>
      <rPr>
        <sz val="9"/>
        <color rgb="FF000000"/>
        <rFont val="Calibri"/>
        <family val="2"/>
      </rPr>
      <t xml:space="preserve"> </t>
    </r>
    <r>
      <rPr>
        <sz val="9"/>
        <color rgb="FF000000"/>
        <rFont val="맑은 고딕"/>
        <family val="3"/>
        <charset val="129"/>
      </rPr>
      <t>진행합니다</t>
    </r>
    <r>
      <rPr>
        <sz val="9"/>
        <color rgb="FF000000"/>
        <rFont val="Calibri"/>
        <family val="2"/>
      </rPr>
      <t>.</t>
    </r>
  </si>
  <si>
    <r>
      <rPr>
        <sz val="9"/>
        <color rgb="FF000000"/>
        <rFont val="맑은 고딕"/>
        <family val="3"/>
        <charset val="129"/>
      </rPr>
      <t>작업필드의</t>
    </r>
    <r>
      <rPr>
        <sz val="9"/>
        <color rgb="FF000000"/>
        <rFont val="Calibri"/>
        <family val="2"/>
      </rPr>
      <t xml:space="preserve"> </t>
    </r>
    <r>
      <rPr>
        <sz val="9"/>
        <color rgb="FF000000"/>
        <rFont val="맑은 고딕"/>
        <family val="3"/>
        <charset val="129"/>
      </rPr>
      <t>유형을</t>
    </r>
    <r>
      <rPr>
        <sz val="9"/>
        <color rgb="FF000000"/>
        <rFont val="Calibri"/>
        <family val="2"/>
      </rPr>
      <t xml:space="preserve"> </t>
    </r>
    <r>
      <rPr>
        <sz val="9"/>
        <color rgb="FF000000"/>
        <rFont val="맑은 고딕"/>
        <family val="3"/>
        <charset val="129"/>
      </rPr>
      <t>선택하세요</t>
    </r>
    <r>
      <rPr>
        <sz val="9"/>
        <color rgb="FF000000"/>
        <rFont val="Calibri"/>
        <family val="2"/>
      </rPr>
      <t>.</t>
    </r>
  </si>
  <si>
    <t>First day of week</t>
  </si>
  <si>
    <t>WBS Area Display</t>
  </si>
  <si>
    <r>
      <rPr>
        <sz val="9"/>
        <color rgb="FF000000"/>
        <rFont val="맑은 고딕"/>
        <family val="3"/>
        <charset val="129"/>
      </rPr>
      <t>다음의</t>
    </r>
    <r>
      <rPr>
        <sz val="9"/>
        <color rgb="FF000000"/>
        <rFont val="Calibri"/>
        <family val="2"/>
      </rPr>
      <t xml:space="preserve"> </t>
    </r>
    <r>
      <rPr>
        <sz val="9"/>
        <color rgb="FF000000"/>
        <rFont val="맑은 고딕"/>
        <family val="3"/>
        <charset val="129"/>
      </rPr>
      <t>폴더가</t>
    </r>
    <r>
      <rPr>
        <sz val="9"/>
        <color rgb="FF000000"/>
        <rFont val="Calibri"/>
        <family val="2"/>
      </rPr>
      <t xml:space="preserve"> </t>
    </r>
    <r>
      <rPr>
        <sz val="9"/>
        <color rgb="FF000000"/>
        <rFont val="맑은 고딕"/>
        <family val="3"/>
        <charset val="129"/>
      </rPr>
      <t>존재하지</t>
    </r>
    <r>
      <rPr>
        <sz val="9"/>
        <color rgb="FF000000"/>
        <rFont val="Calibri"/>
        <family val="2"/>
      </rPr>
      <t xml:space="preserve"> </t>
    </r>
    <r>
      <rPr>
        <sz val="9"/>
        <color rgb="FF000000"/>
        <rFont val="맑은 고딕"/>
        <family val="3"/>
        <charset val="129"/>
      </rPr>
      <t>않습니다</t>
    </r>
    <r>
      <rPr>
        <sz val="9"/>
        <color rgb="FF000000"/>
        <rFont val="Calibri"/>
        <family val="2"/>
      </rPr>
      <t>.</t>
    </r>
  </si>
  <si>
    <r>
      <rPr>
        <sz val="9"/>
        <color rgb="FF000000"/>
        <rFont val="맑은 고딕"/>
        <family val="3"/>
        <charset val="129"/>
      </rPr>
      <t>산출물</t>
    </r>
    <r>
      <rPr>
        <sz val="9"/>
        <color rgb="FF000000"/>
        <rFont val="Calibri"/>
        <family val="2"/>
      </rPr>
      <t xml:space="preserve"> </t>
    </r>
    <r>
      <rPr>
        <sz val="9"/>
        <color rgb="FF000000"/>
        <rFont val="맑은 고딕"/>
        <family val="3"/>
        <charset val="129"/>
      </rPr>
      <t>종류가</t>
    </r>
    <r>
      <rPr>
        <sz val="9"/>
        <color rgb="FF000000"/>
        <rFont val="Calibri"/>
        <family val="2"/>
      </rPr>
      <t xml:space="preserve"> </t>
    </r>
    <r>
      <rPr>
        <sz val="9"/>
        <color rgb="FF000000"/>
        <rFont val="맑은 고딕"/>
        <family val="3"/>
        <charset val="129"/>
      </rPr>
      <t>선택되지</t>
    </r>
    <r>
      <rPr>
        <sz val="9"/>
        <color rgb="FF000000"/>
        <rFont val="Calibri"/>
        <family val="2"/>
      </rPr>
      <t xml:space="preserve"> </t>
    </r>
    <r>
      <rPr>
        <sz val="9"/>
        <color rgb="FF000000"/>
        <rFont val="맑은 고딕"/>
        <family val="3"/>
        <charset val="129"/>
      </rPr>
      <t>않았습니다</t>
    </r>
  </si>
  <si>
    <r>
      <rPr>
        <sz val="9"/>
        <color rgb="FF000000"/>
        <rFont val="맑은 고딕"/>
        <family val="3"/>
        <charset val="129"/>
      </rPr>
      <t>프로그램</t>
    </r>
    <r>
      <rPr>
        <sz val="9"/>
        <color rgb="FF000000"/>
        <rFont val="Calibri"/>
        <family val="2"/>
      </rPr>
      <t xml:space="preserve"> </t>
    </r>
    <r>
      <rPr>
        <sz val="9"/>
        <color rgb="FF000000"/>
        <rFont val="맑은 고딕"/>
        <family val="3"/>
        <charset val="129"/>
      </rPr>
      <t>시작</t>
    </r>
    <r>
      <rPr>
        <sz val="9"/>
        <color rgb="FF000000"/>
        <rFont val="Calibri"/>
        <family val="2"/>
      </rPr>
      <t xml:space="preserve"> </t>
    </r>
    <r>
      <rPr>
        <sz val="9"/>
        <color rgb="FF000000"/>
        <rFont val="맑은 고딕"/>
        <family val="3"/>
        <charset val="129"/>
      </rPr>
      <t>시</t>
    </r>
    <r>
      <rPr>
        <sz val="9"/>
        <color rgb="FF000000"/>
        <rFont val="Calibri"/>
        <family val="2"/>
      </rPr>
      <t xml:space="preserve"> </t>
    </r>
    <r>
      <rPr>
        <sz val="9"/>
        <color rgb="FF000000"/>
        <rFont val="맑은 고딕"/>
        <family val="3"/>
        <charset val="129"/>
      </rPr>
      <t>최신버전</t>
    </r>
    <r>
      <rPr>
        <sz val="9"/>
        <color rgb="FF000000"/>
        <rFont val="Calibri"/>
        <family val="2"/>
      </rPr>
      <t xml:space="preserve"> </t>
    </r>
    <r>
      <rPr>
        <sz val="9"/>
        <color rgb="FF000000"/>
        <rFont val="맑은 고딕"/>
        <family val="3"/>
        <charset val="129"/>
      </rPr>
      <t>확인</t>
    </r>
  </si>
  <si>
    <t>Name:resourceDisp</t>
  </si>
  <si>
    <t xml:space="preserve">  주별보기, Zoom 100%</t>
  </si>
  <si>
    <r>
      <rPr>
        <sz val="9"/>
        <color rgb="FF000000"/>
        <rFont val="맑은 고딕"/>
        <family val="3"/>
        <charset val="129"/>
      </rPr>
      <t>컴퓨터</t>
    </r>
    <r>
      <rPr>
        <sz val="9"/>
        <color rgb="FF000000"/>
        <rFont val="Calibri"/>
        <family val="2"/>
      </rPr>
      <t xml:space="preserve"> O/S</t>
    </r>
    <r>
      <rPr>
        <sz val="9"/>
        <color rgb="FF000000"/>
        <rFont val="맑은 고딕"/>
        <family val="3"/>
        <charset val="129"/>
      </rPr>
      <t>의</t>
    </r>
    <r>
      <rPr>
        <sz val="9"/>
        <color rgb="FF000000"/>
        <rFont val="Calibri"/>
        <family val="2"/>
      </rPr>
      <t xml:space="preserve"> </t>
    </r>
    <r>
      <rPr>
        <sz val="9"/>
        <color rgb="FF000000"/>
        <rFont val="맑은 고딕"/>
        <family val="3"/>
        <charset val="129"/>
      </rPr>
      <t>언어설정을</t>
    </r>
    <r>
      <rPr>
        <sz val="9"/>
        <color rgb="FF000000"/>
        <rFont val="Calibri"/>
        <family val="2"/>
      </rPr>
      <t xml:space="preserve"> </t>
    </r>
    <r>
      <rPr>
        <sz val="9"/>
        <color rgb="FF000000"/>
        <rFont val="맑은 고딕"/>
        <family val="3"/>
        <charset val="129"/>
      </rPr>
      <t>따름</t>
    </r>
  </si>
  <si>
    <t>Actual__Total Work</t>
  </si>
  <si>
    <t>To Date is invalid.</t>
  </si>
  <si>
    <r>
      <rPr>
        <sz val="9"/>
        <color rgb="FF000000"/>
        <rFont val="맑은 고딕"/>
        <family val="3"/>
        <charset val="129"/>
      </rPr>
      <t>완료된</t>
    </r>
    <r>
      <rPr>
        <sz val="9"/>
        <color rgb="FF000000"/>
        <rFont val="Calibri"/>
        <family val="2"/>
      </rPr>
      <t xml:space="preserve"> </t>
    </r>
    <r>
      <rPr>
        <sz val="9"/>
        <color rgb="FF000000"/>
        <rFont val="맑은 고딕"/>
        <family val="3"/>
        <charset val="129"/>
      </rPr>
      <t>작업의</t>
    </r>
    <r>
      <rPr>
        <sz val="9"/>
        <color rgb="FF000000"/>
        <rFont val="Calibri"/>
        <family val="2"/>
      </rPr>
      <t xml:space="preserve"> </t>
    </r>
    <r>
      <rPr>
        <sz val="9"/>
        <color rgb="FF000000"/>
        <rFont val="맑은 고딕"/>
        <family val="3"/>
        <charset val="129"/>
      </rPr>
      <t>폰트색상</t>
    </r>
    <r>
      <rPr>
        <sz val="9"/>
        <color rgb="FF000000"/>
        <rFont val="Calibri"/>
        <family val="2"/>
      </rPr>
      <t xml:space="preserve"> </t>
    </r>
    <r>
      <rPr>
        <sz val="9"/>
        <color rgb="FF000000"/>
        <rFont val="맑은 고딕"/>
        <family val="3"/>
        <charset val="129"/>
      </rPr>
      <t>회색표시</t>
    </r>
  </si>
  <si>
    <t>c:\cad\cad\cad.exe</t>
  </si>
  <si>
    <t>각 공통 기능별로 클래스 구현</t>
  </si>
  <si>
    <r>
      <rPr>
        <sz val="9"/>
        <color rgb="FF000000"/>
        <rFont val="맑은 고딕"/>
        <family val="3"/>
        <charset val="129"/>
      </rPr>
      <t>산출물열기</t>
    </r>
    <r>
      <rPr>
        <sz val="9"/>
        <color rgb="FF000000"/>
        <rFont val="Calibri"/>
        <family val="2"/>
      </rPr>
      <t xml:space="preserve"> </t>
    </r>
    <r>
      <rPr>
        <sz val="9"/>
        <color rgb="FF000000"/>
        <rFont val="맑은 고딕"/>
        <family val="3"/>
        <charset val="129"/>
      </rPr>
      <t>프로그램</t>
    </r>
    <r>
      <rPr>
        <sz val="9"/>
        <color rgb="FF000000"/>
        <rFont val="Calibri"/>
        <family val="2"/>
      </rPr>
      <t xml:space="preserve"> </t>
    </r>
    <r>
      <rPr>
        <sz val="9"/>
        <color rgb="FF000000"/>
        <rFont val="맑은 고딕"/>
        <family val="3"/>
        <charset val="129"/>
      </rPr>
      <t>실행경로</t>
    </r>
    <r>
      <rPr>
        <sz val="9"/>
        <color rgb="FF000000"/>
        <rFont val="Calibri"/>
        <family val="2"/>
      </rPr>
      <t xml:space="preserve"> </t>
    </r>
    <r>
      <rPr>
        <sz val="9"/>
        <color rgb="FF000000"/>
        <rFont val="맑은 고딕"/>
        <family val="3"/>
        <charset val="129"/>
      </rPr>
      <t>지정</t>
    </r>
  </si>
  <si>
    <r>
      <rPr>
        <sz val="9"/>
        <color rgb="FF000000"/>
        <rFont val="맑은 고딕"/>
        <family val="3"/>
        <charset val="129"/>
      </rPr>
      <t>가중치는</t>
    </r>
    <r>
      <rPr>
        <sz val="9"/>
        <color rgb="FF000000"/>
        <rFont val="Calibri"/>
        <family val="2"/>
      </rPr>
      <t xml:space="preserve"> 0</t>
    </r>
    <r>
      <rPr>
        <sz val="9"/>
        <color rgb="FF000000"/>
        <rFont val="맑은 고딕"/>
        <family val="3"/>
        <charset val="129"/>
      </rPr>
      <t>보다</t>
    </r>
    <r>
      <rPr>
        <sz val="9"/>
        <color rgb="FF000000"/>
        <rFont val="Calibri"/>
        <family val="2"/>
      </rPr>
      <t xml:space="preserve"> </t>
    </r>
    <r>
      <rPr>
        <sz val="9"/>
        <color rgb="FF000000"/>
        <rFont val="맑은 고딕"/>
        <family val="3"/>
        <charset val="129"/>
      </rPr>
      <t>커야</t>
    </r>
    <r>
      <rPr>
        <sz val="9"/>
        <color rgb="FF000000"/>
        <rFont val="Calibri"/>
        <family val="2"/>
      </rPr>
      <t xml:space="preserve"> </t>
    </r>
    <r>
      <rPr>
        <sz val="9"/>
        <color rgb="FF000000"/>
        <rFont val="맑은 고딕"/>
        <family val="3"/>
        <charset val="129"/>
      </rPr>
      <t>합니다</t>
    </r>
    <r>
      <rPr>
        <sz val="9"/>
        <color rgb="FF000000"/>
        <rFont val="Calibri"/>
        <family val="2"/>
      </rPr>
      <t>.</t>
    </r>
  </si>
  <si>
    <r>
      <rPr>
        <sz val="9"/>
        <color rgb="FF000000"/>
        <rFont val="맑은 고딕"/>
        <family val="3"/>
        <charset val="129"/>
      </rPr>
      <t>총작업량</t>
    </r>
    <r>
      <rPr>
        <sz val="9"/>
        <color rgb="FF000000"/>
        <rFont val="Calibri"/>
        <family val="2"/>
      </rPr>
      <t>(A)\nMan-day</t>
    </r>
  </si>
  <si>
    <r>
      <rPr>
        <sz val="9"/>
        <color rgb="FF000000"/>
        <rFont val="맑은 고딕"/>
        <family val="3"/>
        <charset val="129"/>
      </rPr>
      <t>계획작업량</t>
    </r>
    <r>
      <rPr>
        <sz val="9"/>
        <color rgb="FF000000"/>
        <rFont val="Calibri"/>
        <family val="2"/>
      </rPr>
      <t>(B)\nMan-day</t>
    </r>
  </si>
  <si>
    <t>1:English,82:Korean</t>
  </si>
  <si>
    <r>
      <rPr>
        <sz val="9"/>
        <color rgb="FF000000"/>
        <rFont val="맑은 고딕"/>
        <family val="3"/>
        <charset val="129"/>
      </rPr>
      <t>실제</t>
    </r>
    <r>
      <rPr>
        <sz val="9"/>
        <color rgb="FF000000"/>
        <rFont val="Calibri"/>
        <family val="2"/>
      </rPr>
      <t xml:space="preserve"> </t>
    </r>
    <r>
      <rPr>
        <sz val="9"/>
        <color rgb="FF000000"/>
        <rFont val="맑은 고딕"/>
        <family val="3"/>
        <charset val="129"/>
      </rPr>
      <t>총작업량</t>
    </r>
    <r>
      <rPr>
        <sz val="9"/>
        <color rgb="FF000000"/>
        <rFont val="Calibri"/>
        <family val="2"/>
      </rPr>
      <t>\nMan-day</t>
    </r>
  </si>
  <si>
    <t>Completed(=100%)</t>
  </si>
  <si>
    <t>Flow chart, 유스케이스</t>
  </si>
  <si>
    <r>
      <rPr>
        <sz val="9"/>
        <color rgb="FF000000"/>
        <rFont val="맑은 고딕"/>
        <family val="3"/>
        <charset val="129"/>
      </rPr>
      <t>다음</t>
    </r>
    <r>
      <rPr>
        <sz val="9"/>
        <color rgb="FF000000"/>
        <rFont val="Calibri"/>
        <family val="2"/>
      </rPr>
      <t xml:space="preserve"> </t>
    </r>
    <r>
      <rPr>
        <sz val="9"/>
        <color rgb="FF000000"/>
        <rFont val="맑은 고딕"/>
        <family val="3"/>
        <charset val="129"/>
      </rPr>
      <t>파일에</t>
    </r>
    <r>
      <rPr>
        <sz val="9"/>
        <color rgb="FF000000"/>
        <rFont val="Calibri"/>
        <family val="2"/>
      </rPr>
      <t xml:space="preserve"> </t>
    </r>
    <r>
      <rPr>
        <sz val="9"/>
        <color rgb="FF000000"/>
        <rFont val="맑은 고딕"/>
        <family val="3"/>
        <charset val="129"/>
      </rPr>
      <t>자료가</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</si>
  <si>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프로그램</t>
    </r>
    <r>
      <rPr>
        <sz val="9"/>
        <color rgb="FF000000"/>
        <rFont val="Calibri"/>
        <family val="2"/>
      </rPr>
      <t xml:space="preserve"> </t>
    </r>
    <r>
      <rPr>
        <sz val="9"/>
        <color rgb="FF000000"/>
        <rFont val="맑은 고딕"/>
        <family val="3"/>
        <charset val="129"/>
      </rPr>
      <t>실행경로를</t>
    </r>
    <r>
      <rPr>
        <sz val="9"/>
        <color rgb="FF000000"/>
        <rFont val="Calibri"/>
        <family val="2"/>
      </rPr>
      <t xml:space="preserve"> </t>
    </r>
    <r>
      <rPr>
        <sz val="9"/>
        <color rgb="FF000000"/>
        <rFont val="맑은 고딕"/>
        <family val="3"/>
        <charset val="129"/>
      </rPr>
      <t>입력하세요</t>
    </r>
    <r>
      <rPr>
        <sz val="9"/>
        <color rgb="FF000000"/>
        <rFont val="Calibri"/>
        <family val="2"/>
      </rPr>
      <t>.</t>
    </r>
  </si>
  <si>
    <t>Because the following task already has been added, XLGantt does not add it to "Outlook".\n\nTask Name : {1} \nStart Date : {2}</t>
  </si>
  <si>
    <r>
      <rPr>
        <sz val="9"/>
        <color rgb="FF000000"/>
        <rFont val="맑은 고딕"/>
        <family val="3"/>
        <charset val="129"/>
      </rPr>
      <t>가장</t>
    </r>
    <r>
      <rPr>
        <sz val="9"/>
        <color rgb="FF000000"/>
        <rFont val="Calibri"/>
        <family val="2"/>
      </rPr>
      <t xml:space="preserve"> </t>
    </r>
    <r>
      <rPr>
        <sz val="9"/>
        <color rgb="FF000000"/>
        <rFont val="맑은 고딕"/>
        <family val="3"/>
        <charset val="129"/>
      </rPr>
      <t>빠른</t>
    </r>
    <r>
      <rPr>
        <sz val="9"/>
        <color rgb="FF000000"/>
        <rFont val="Calibri"/>
        <family val="2"/>
      </rPr>
      <t xml:space="preserve"> </t>
    </r>
    <r>
      <rPr>
        <sz val="9"/>
        <color rgb="FF000000"/>
        <rFont val="맑은 고딕"/>
        <family val="3"/>
        <charset val="129"/>
      </rPr>
      <t>시작일</t>
    </r>
    <r>
      <rPr>
        <sz val="9"/>
        <color rgb="FF000000"/>
        <rFont val="Calibri"/>
        <family val="2"/>
      </rPr>
      <t>({1})</t>
    </r>
    <r>
      <rPr>
        <sz val="9"/>
        <color rgb="FF000000"/>
        <rFont val="맑은 고딕"/>
        <family val="3"/>
        <charset val="129"/>
      </rPr>
      <t>이</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기간정보의</t>
    </r>
    <r>
      <rPr>
        <sz val="9"/>
        <color rgb="FF000000"/>
        <rFont val="Calibri"/>
        <family val="2"/>
      </rPr>
      <t xml:space="preserve"> </t>
    </r>
    <r>
      <rPr>
        <sz val="9"/>
        <color rgb="FF000000"/>
        <rFont val="맑은 고딕"/>
        <family val="3"/>
        <charset val="129"/>
      </rPr>
      <t>시작일</t>
    </r>
    <r>
      <rPr>
        <sz val="9"/>
        <color rgb="FF000000"/>
        <rFont val="Calibri"/>
        <family val="2"/>
      </rPr>
      <t>({2})</t>
    </r>
    <r>
      <rPr>
        <sz val="9"/>
        <color rgb="FF000000"/>
        <rFont val="맑은 고딕"/>
        <family val="3"/>
        <charset val="129"/>
      </rPr>
      <t>보다</t>
    </r>
    <r>
      <rPr>
        <sz val="9"/>
        <color rgb="FF000000"/>
        <rFont val="Calibri"/>
        <family val="2"/>
      </rPr>
      <t xml:space="preserve"> </t>
    </r>
    <r>
      <rPr>
        <sz val="9"/>
        <color rgb="FF000000"/>
        <rFont val="맑은 고딕"/>
        <family val="3"/>
        <charset val="129"/>
      </rPr>
      <t>더</t>
    </r>
    <r>
      <rPr>
        <sz val="9"/>
        <color rgb="FF000000"/>
        <rFont val="Calibri"/>
        <family val="2"/>
      </rPr>
      <t xml:space="preserve"> </t>
    </r>
    <r>
      <rPr>
        <sz val="9"/>
        <color rgb="FF000000"/>
        <rFont val="맑은 고딕"/>
        <family val="3"/>
        <charset val="129"/>
      </rPr>
      <t>빠릅니다</t>
    </r>
    <r>
      <rPr>
        <sz val="9"/>
        <color rgb="FF000000"/>
        <rFont val="Calibri"/>
        <family val="2"/>
      </rPr>
      <t>.\n\n</t>
    </r>
    <r>
      <rPr>
        <sz val="9"/>
        <color rgb="FF000000"/>
        <rFont val="맑은 고딕"/>
        <family val="3"/>
        <charset val="129"/>
      </rPr>
      <t>이</t>
    </r>
    <r>
      <rPr>
        <sz val="9"/>
        <color rgb="FF000000"/>
        <rFont val="Calibri"/>
        <family val="2"/>
      </rPr>
      <t xml:space="preserve"> </t>
    </r>
    <r>
      <rPr>
        <sz val="9"/>
        <color rgb="FF000000"/>
        <rFont val="맑은 고딕"/>
        <family val="3"/>
        <charset val="129"/>
      </rPr>
      <t>경우</t>
    </r>
    <r>
      <rPr>
        <sz val="9"/>
        <color rgb="FF000000"/>
        <rFont val="Calibri"/>
        <family val="2"/>
      </rPr>
      <t xml:space="preserve"> </t>
    </r>
    <r>
      <rPr>
        <sz val="9"/>
        <color rgb="FF000000"/>
        <rFont val="맑은 고딕"/>
        <family val="3"/>
        <charset val="129"/>
      </rPr>
      <t>리소스</t>
    </r>
    <r>
      <rPr>
        <sz val="9"/>
        <color rgb="FF000000"/>
        <rFont val="Calibri"/>
        <family val="2"/>
      </rPr>
      <t xml:space="preserve"> </t>
    </r>
    <r>
      <rPr>
        <sz val="9"/>
        <color rgb="FF000000"/>
        <rFont val="맑은 고딕"/>
        <family val="3"/>
        <charset val="129"/>
      </rPr>
      <t>계산등에</t>
    </r>
    <r>
      <rPr>
        <sz val="9"/>
        <color rgb="FF000000"/>
        <rFont val="Calibri"/>
        <family val="2"/>
      </rPr>
      <t xml:space="preserve"> </t>
    </r>
    <r>
      <rPr>
        <sz val="9"/>
        <color rgb="FF000000"/>
        <rFont val="맑은 고딕"/>
        <family val="3"/>
        <charset val="129"/>
      </rPr>
      <t>문제가</t>
    </r>
    <r>
      <rPr>
        <sz val="9"/>
        <color rgb="FF000000"/>
        <rFont val="Calibri"/>
        <family val="2"/>
      </rPr>
      <t xml:space="preserve"> </t>
    </r>
    <r>
      <rPr>
        <sz val="9"/>
        <color rgb="FF000000"/>
        <rFont val="맑은 고딕"/>
        <family val="3"/>
        <charset val="129"/>
      </rPr>
      <t>있을</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 xml:space="preserve">. </t>
    </r>
    <r>
      <rPr>
        <sz val="9"/>
        <color rgb="FF000000"/>
        <rFont val="맑은 고딕"/>
        <family val="3"/>
        <charset val="129"/>
      </rPr>
      <t>시작일을</t>
    </r>
    <r>
      <rPr>
        <sz val="9"/>
        <color rgb="FF000000"/>
        <rFont val="Calibri"/>
        <family val="2"/>
      </rPr>
      <t xml:space="preserve"> </t>
    </r>
    <r>
      <rPr>
        <sz val="9"/>
        <color rgb="FF000000"/>
        <rFont val="맑은 고딕"/>
        <family val="3"/>
        <charset val="129"/>
      </rPr>
      <t>환경설정메뉴의</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기간내로</t>
    </r>
    <r>
      <rPr>
        <sz val="9"/>
        <color rgb="FF000000"/>
        <rFont val="Calibri"/>
        <family val="2"/>
      </rPr>
      <t xml:space="preserve"> </t>
    </r>
    <r>
      <rPr>
        <sz val="9"/>
        <color rgb="FF000000"/>
        <rFont val="맑은 고딕"/>
        <family val="3"/>
        <charset val="129"/>
      </rPr>
      <t>조정하거나</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기간을</t>
    </r>
    <r>
      <rPr>
        <sz val="9"/>
        <color rgb="FF000000"/>
        <rFont val="Calibri"/>
        <family val="2"/>
      </rPr>
      <t xml:space="preserve"> </t>
    </r>
    <r>
      <rPr>
        <sz val="9"/>
        <color rgb="FF000000"/>
        <rFont val="맑은 고딕"/>
        <family val="3"/>
        <charset val="129"/>
      </rPr>
      <t>조정하시기</t>
    </r>
    <r>
      <rPr>
        <sz val="9"/>
        <color rgb="FF000000"/>
        <rFont val="Calibri"/>
        <family val="2"/>
      </rPr>
      <t xml:space="preserve"> </t>
    </r>
    <r>
      <rPr>
        <sz val="9"/>
        <color rgb="FF000000"/>
        <rFont val="맑은 고딕"/>
        <family val="3"/>
        <charset val="129"/>
      </rPr>
      <t>바랍니다</t>
    </r>
    <r>
      <rPr>
        <sz val="9"/>
        <color rgb="FF000000"/>
        <rFont val="Calibri"/>
        <family val="2"/>
      </rPr>
      <t>.</t>
    </r>
  </si>
  <si>
    <t>Because the following task already has been added, XLGantt does not add it to "Outlook".\n\nTask Name : {1} \nDue Date : {2}</t>
  </si>
  <si>
    <r>
      <rPr>
        <sz val="9"/>
        <color rgb="FF000000"/>
        <rFont val="맑은 고딕"/>
        <family val="3"/>
        <charset val="129"/>
      </rPr>
      <t>가장</t>
    </r>
    <r>
      <rPr>
        <sz val="9"/>
        <color rgb="FF000000"/>
        <rFont val="Calibri"/>
        <family val="2"/>
      </rPr>
      <t xml:space="preserve"> </t>
    </r>
    <r>
      <rPr>
        <sz val="9"/>
        <color rgb="FF000000"/>
        <rFont val="맑은 고딕"/>
        <family val="3"/>
        <charset val="129"/>
      </rPr>
      <t>늦은</t>
    </r>
    <r>
      <rPr>
        <sz val="9"/>
        <color rgb="FF000000"/>
        <rFont val="Calibri"/>
        <family val="2"/>
      </rPr>
      <t xml:space="preserve"> </t>
    </r>
    <r>
      <rPr>
        <sz val="9"/>
        <color rgb="FF000000"/>
        <rFont val="맑은 고딕"/>
        <family val="3"/>
        <charset val="129"/>
      </rPr>
      <t>완료일</t>
    </r>
    <r>
      <rPr>
        <sz val="9"/>
        <color rgb="FF000000"/>
        <rFont val="Calibri"/>
        <family val="2"/>
      </rPr>
      <t>({1})</t>
    </r>
    <r>
      <rPr>
        <sz val="9"/>
        <color rgb="FF000000"/>
        <rFont val="맑은 고딕"/>
        <family val="3"/>
        <charset val="129"/>
      </rPr>
      <t>이</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기간정보의</t>
    </r>
    <r>
      <rPr>
        <sz val="9"/>
        <color rgb="FF000000"/>
        <rFont val="Calibri"/>
        <family val="2"/>
      </rPr>
      <t xml:space="preserve"> </t>
    </r>
    <r>
      <rPr>
        <sz val="9"/>
        <color rgb="FF000000"/>
        <rFont val="맑은 고딕"/>
        <family val="3"/>
        <charset val="129"/>
      </rPr>
      <t>완료일</t>
    </r>
    <r>
      <rPr>
        <sz val="9"/>
        <color rgb="FF000000"/>
        <rFont val="Calibri"/>
        <family val="2"/>
      </rPr>
      <t>({2})</t>
    </r>
    <r>
      <rPr>
        <sz val="9"/>
        <color rgb="FF000000"/>
        <rFont val="맑은 고딕"/>
        <family val="3"/>
        <charset val="129"/>
      </rPr>
      <t>보다</t>
    </r>
    <r>
      <rPr>
        <sz val="9"/>
        <color rgb="FF000000"/>
        <rFont val="Calibri"/>
        <family val="2"/>
      </rPr>
      <t xml:space="preserve"> </t>
    </r>
    <r>
      <rPr>
        <sz val="9"/>
        <color rgb="FF000000"/>
        <rFont val="맑은 고딕"/>
        <family val="3"/>
        <charset val="129"/>
      </rPr>
      <t>더</t>
    </r>
    <r>
      <rPr>
        <sz val="9"/>
        <color rgb="FF000000"/>
        <rFont val="Calibri"/>
        <family val="2"/>
      </rPr>
      <t xml:space="preserve"> </t>
    </r>
    <r>
      <rPr>
        <sz val="9"/>
        <color rgb="FF000000"/>
        <rFont val="맑은 고딕"/>
        <family val="3"/>
        <charset val="129"/>
      </rPr>
      <t>늦습니다</t>
    </r>
    <r>
      <rPr>
        <sz val="9"/>
        <color rgb="FF000000"/>
        <rFont val="Calibri"/>
        <family val="2"/>
      </rPr>
      <t>.\n\n</t>
    </r>
    <r>
      <rPr>
        <sz val="9"/>
        <color rgb="FF000000"/>
        <rFont val="맑은 고딕"/>
        <family val="3"/>
        <charset val="129"/>
      </rPr>
      <t>이</t>
    </r>
    <r>
      <rPr>
        <sz val="9"/>
        <color rgb="FF000000"/>
        <rFont val="Calibri"/>
        <family val="2"/>
      </rPr>
      <t xml:space="preserve"> </t>
    </r>
    <r>
      <rPr>
        <sz val="9"/>
        <color rgb="FF000000"/>
        <rFont val="맑은 고딕"/>
        <family val="3"/>
        <charset val="129"/>
      </rPr>
      <t>경우</t>
    </r>
    <r>
      <rPr>
        <sz val="9"/>
        <color rgb="FF000000"/>
        <rFont val="Calibri"/>
        <family val="2"/>
      </rPr>
      <t xml:space="preserve"> </t>
    </r>
    <r>
      <rPr>
        <sz val="9"/>
        <color rgb="FF000000"/>
        <rFont val="맑은 고딕"/>
        <family val="3"/>
        <charset val="129"/>
      </rPr>
      <t>리소스</t>
    </r>
    <r>
      <rPr>
        <sz val="9"/>
        <color rgb="FF000000"/>
        <rFont val="Calibri"/>
        <family val="2"/>
      </rPr>
      <t xml:space="preserve"> </t>
    </r>
    <r>
      <rPr>
        <sz val="9"/>
        <color rgb="FF000000"/>
        <rFont val="맑은 고딕"/>
        <family val="3"/>
        <charset val="129"/>
      </rPr>
      <t>계산등에</t>
    </r>
    <r>
      <rPr>
        <sz val="9"/>
        <color rgb="FF000000"/>
        <rFont val="Calibri"/>
        <family val="2"/>
      </rPr>
      <t xml:space="preserve"> </t>
    </r>
    <r>
      <rPr>
        <sz val="9"/>
        <color rgb="FF000000"/>
        <rFont val="맑은 고딕"/>
        <family val="3"/>
        <charset val="129"/>
      </rPr>
      <t>문제가</t>
    </r>
    <r>
      <rPr>
        <sz val="9"/>
        <color rgb="FF000000"/>
        <rFont val="Calibri"/>
        <family val="2"/>
      </rPr>
      <t xml:space="preserve"> </t>
    </r>
    <r>
      <rPr>
        <sz val="9"/>
        <color rgb="FF000000"/>
        <rFont val="맑은 고딕"/>
        <family val="3"/>
        <charset val="129"/>
      </rPr>
      <t>있을</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 xml:space="preserve">. </t>
    </r>
    <r>
      <rPr>
        <sz val="9"/>
        <color rgb="FF000000"/>
        <rFont val="맑은 고딕"/>
        <family val="3"/>
        <charset val="129"/>
      </rPr>
      <t>완료일을</t>
    </r>
    <r>
      <rPr>
        <sz val="9"/>
        <color rgb="FF000000"/>
        <rFont val="Calibri"/>
        <family val="2"/>
      </rPr>
      <t xml:space="preserve"> </t>
    </r>
    <r>
      <rPr>
        <sz val="9"/>
        <color rgb="FF000000"/>
        <rFont val="맑은 고딕"/>
        <family val="3"/>
        <charset val="129"/>
      </rPr>
      <t>환경설정메뉴의</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기간내로</t>
    </r>
    <r>
      <rPr>
        <sz val="9"/>
        <color rgb="FF000000"/>
        <rFont val="Calibri"/>
        <family val="2"/>
      </rPr>
      <t xml:space="preserve"> </t>
    </r>
    <r>
      <rPr>
        <sz val="9"/>
        <color rgb="FF000000"/>
        <rFont val="맑은 고딕"/>
        <family val="3"/>
        <charset val="129"/>
      </rPr>
      <t>조정하거나</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기간을</t>
    </r>
    <r>
      <rPr>
        <sz val="9"/>
        <color rgb="FF000000"/>
        <rFont val="Calibri"/>
        <family val="2"/>
      </rPr>
      <t xml:space="preserve"> </t>
    </r>
    <r>
      <rPr>
        <sz val="9"/>
        <color rgb="FF000000"/>
        <rFont val="맑은 고딕"/>
        <family val="3"/>
        <charset val="129"/>
      </rPr>
      <t>조정하시기</t>
    </r>
    <r>
      <rPr>
        <sz val="9"/>
        <color rgb="FF000000"/>
        <rFont val="Calibri"/>
        <family val="2"/>
      </rPr>
      <t xml:space="preserve"> </t>
    </r>
    <r>
      <rPr>
        <sz val="9"/>
        <color rgb="FF000000"/>
        <rFont val="맑은 고딕"/>
        <family val="3"/>
        <charset val="129"/>
      </rPr>
      <t>바랍니다</t>
    </r>
    <r>
      <rPr>
        <sz val="9"/>
        <color rgb="FF000000"/>
        <rFont val="Calibri"/>
        <family val="2"/>
      </rPr>
      <t>.</t>
    </r>
  </si>
  <si>
    <t>* You can import  files created in XLGantt.
* You can import files if the version is 0.9.7 or higher than 0.9.7
* You can import up to 10,000 records.
* You can import multiple files simultaneously.</t>
  </si>
  <si>
    <t>The earliest start date({1}) of the tasks is earlier than the start date({2}) of the project.\n\nIn this case, there may be problems with resource calculations. Please change the start date to valid date.</t>
  </si>
  <si>
    <t>The latest finish date({1}) of the tasks is later than the finish date({2}) of the project.\n\nIn this case, there may be problems with resource calculations. Please change the finish date to valid date.</t>
  </si>
  <si>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실제시작일이</t>
    </r>
    <r>
      <rPr>
        <sz val="9"/>
        <color rgb="FF000000"/>
        <rFont val="Calibri"/>
        <family val="2"/>
      </rPr>
      <t xml:space="preserve"> </t>
    </r>
    <r>
      <rPr>
        <sz val="9"/>
        <color rgb="FF000000"/>
        <rFont val="맑은 고딕"/>
        <family val="3"/>
        <charset val="129"/>
      </rPr>
      <t>실제완료일보다</t>
    </r>
    <r>
      <rPr>
        <sz val="9"/>
        <color rgb="FF000000"/>
        <rFont val="Calibri"/>
        <family val="2"/>
      </rPr>
      <t xml:space="preserve"> </t>
    </r>
    <r>
      <rPr>
        <sz val="9"/>
        <color rgb="FF000000"/>
        <rFont val="맑은 고딕"/>
        <family val="3"/>
        <charset val="129"/>
      </rPr>
      <t>큽니다</t>
    </r>
    <r>
      <rPr>
        <sz val="9"/>
        <color rgb="FF000000"/>
        <rFont val="Calibri"/>
        <family val="2"/>
      </rPr>
      <t>.</t>
    </r>
  </si>
  <si>
    <r>
      <t>* "Workload(</t>
    </r>
    <r>
      <rPr>
        <sz val="9"/>
        <color rgb="FF000000"/>
        <rFont val="맑은 고딕"/>
        <family val="3"/>
        <charset val="129"/>
      </rPr>
      <t>담당별</t>
    </r>
    <r>
      <rPr>
        <sz val="9"/>
        <color rgb="FF000000"/>
        <rFont val="Calibri"/>
        <family val="2"/>
      </rPr>
      <t xml:space="preserve">)" </t>
    </r>
    <r>
      <rPr>
        <sz val="9"/>
        <color rgb="FF000000"/>
        <rFont val="맑은 고딕"/>
        <family val="3"/>
        <charset val="129"/>
      </rPr>
      <t>메뉴를</t>
    </r>
    <r>
      <rPr>
        <sz val="9"/>
        <color rgb="FF000000"/>
        <rFont val="Calibri"/>
        <family val="2"/>
      </rPr>
      <t xml:space="preserve"> </t>
    </r>
    <r>
      <rPr>
        <sz val="9"/>
        <color rgb="FF000000"/>
        <rFont val="맑은 고딕"/>
        <family val="3"/>
        <charset val="129"/>
      </rPr>
      <t>클릭해야</t>
    </r>
    <r>
      <rPr>
        <sz val="9"/>
        <color rgb="FF000000"/>
        <rFont val="Calibri"/>
        <family val="2"/>
      </rPr>
      <t xml:space="preserve"> </t>
    </r>
    <r>
      <rPr>
        <sz val="9"/>
        <color rgb="FF000000"/>
        <rFont val="맑은 고딕"/>
        <family val="3"/>
        <charset val="129"/>
      </rPr>
      <t>내용이</t>
    </r>
    <r>
      <rPr>
        <sz val="9"/>
        <color rgb="FF000000"/>
        <rFont val="Calibri"/>
        <family val="2"/>
      </rPr>
      <t xml:space="preserve"> </t>
    </r>
    <r>
      <rPr>
        <sz val="9"/>
        <color rgb="FF000000"/>
        <rFont val="맑은 고딕"/>
        <family val="3"/>
        <charset val="129"/>
      </rPr>
      <t>갱신됩니다</t>
    </r>
    <r>
      <rPr>
        <sz val="9"/>
        <color rgb="FF000000"/>
        <rFont val="Calibri"/>
        <family val="2"/>
      </rPr>
      <t>.</t>
    </r>
  </si>
  <si>
    <r>
      <t>1~2</t>
    </r>
    <r>
      <rPr>
        <sz val="9"/>
        <color rgb="FF000000"/>
        <rFont val="맑은 고딕"/>
        <family val="3"/>
        <charset val="129"/>
      </rPr>
      <t>행</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한</t>
    </r>
    <r>
      <rPr>
        <sz val="9"/>
        <color rgb="FF000000"/>
        <rFont val="Calibri"/>
        <family val="2"/>
      </rPr>
      <t xml:space="preserve"> </t>
    </r>
    <r>
      <rPr>
        <sz val="9"/>
        <color rgb="FF000000"/>
        <rFont val="맑은 고딕"/>
        <family val="3"/>
        <charset val="129"/>
      </rPr>
      <t>행이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작업하십시오</t>
    </r>
    <r>
      <rPr>
        <sz val="9"/>
        <color rgb="FF000000"/>
        <rFont val="Calibri"/>
        <family val="2"/>
      </rPr>
      <t>.</t>
    </r>
  </si>
  <si>
    <r>
      <t xml:space="preserve">WBS Level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</si>
  <si>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t>Task</t>
    </r>
    <r>
      <rPr>
        <sz val="9"/>
        <color rgb="FF000000"/>
        <rFont val="맑은 고딕"/>
        <family val="3"/>
        <charset val="129"/>
      </rPr>
      <t>열의</t>
    </r>
    <r>
      <rPr>
        <sz val="9"/>
        <color rgb="FF000000"/>
        <rFont val="Calibri"/>
        <family val="2"/>
      </rPr>
      <t xml:space="preserve"> </t>
    </r>
    <r>
      <rPr>
        <sz val="9"/>
        <color rgb="FF000000"/>
        <rFont val="맑은 고딕"/>
        <family val="3"/>
        <charset val="129"/>
      </rPr>
      <t>갯수가</t>
    </r>
    <r>
      <rPr>
        <sz val="9"/>
        <color rgb="FF000000"/>
        <rFont val="Calibri"/>
        <family val="2"/>
      </rPr>
      <t xml:space="preserve"> 7</t>
    </r>
    <r>
      <rPr>
        <sz val="9"/>
        <color rgb="FF000000"/>
        <rFont val="맑은 고딕"/>
        <family val="3"/>
        <charset val="129"/>
      </rPr>
      <t>개가</t>
    </r>
    <r>
      <rPr>
        <sz val="9"/>
        <color rgb="FF000000"/>
        <rFont val="Calibri"/>
        <family val="2"/>
      </rPr>
      <t xml:space="preserve"> </t>
    </r>
    <r>
      <rPr>
        <sz val="9"/>
        <color rgb="FF000000"/>
        <rFont val="맑은 고딕"/>
        <family val="3"/>
        <charset val="129"/>
      </rPr>
      <t>아닙니다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</si>
  <si>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t xml:space="preserve">Calendar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</si>
  <si>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</si>
  <si>
    <r>
      <t xml:space="preserve">Chart </t>
    </r>
    <r>
      <rPr>
        <sz val="9"/>
        <color rgb="FF000000"/>
        <rFont val="맑은 고딕"/>
        <family val="3"/>
        <charset val="129"/>
      </rPr>
      <t>오른쪽</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</si>
  <si>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날짜는</t>
    </r>
    <r>
      <rPr>
        <sz val="9"/>
        <color rgb="FF000000"/>
        <rFont val="Calibri"/>
        <family val="2"/>
      </rPr>
      <t xml:space="preserve"> </t>
    </r>
    <r>
      <rPr>
        <sz val="9"/>
        <color rgb="FF000000"/>
        <rFont val="맑은 고딕"/>
        <family val="3"/>
        <charset val="129"/>
      </rPr>
      <t>입력되었는데</t>
    </r>
    <r>
      <rPr>
        <sz val="9"/>
        <color rgb="FF000000"/>
        <rFont val="Calibri"/>
        <family val="2"/>
      </rPr>
      <t xml:space="preserve"> </t>
    </r>
    <r>
      <rPr>
        <sz val="9"/>
        <color rgb="FF000000"/>
        <rFont val="맑은 고딕"/>
        <family val="3"/>
        <charset val="129"/>
      </rPr>
      <t>작업필드가</t>
    </r>
    <r>
      <rPr>
        <sz val="9"/>
        <color rgb="FF000000"/>
        <rFont val="Calibri"/>
        <family val="2"/>
      </rPr>
      <t xml:space="preserve"> </t>
    </r>
    <r>
      <rPr>
        <sz val="9"/>
        <color rgb="FF000000"/>
        <rFont val="맑은 고딕"/>
        <family val="3"/>
        <charset val="129"/>
      </rPr>
      <t>비어있습니다</t>
    </r>
    <r>
      <rPr>
        <sz val="9"/>
        <color rgb="FF000000"/>
        <rFont val="Calibri"/>
        <family val="2"/>
      </rPr>
      <t>.\n</t>
    </r>
    <r>
      <rPr>
        <sz val="9"/>
        <color rgb="FF000000"/>
        <rFont val="맑은 고딕"/>
        <family val="3"/>
        <charset val="129"/>
      </rPr>
      <t>작업필드의</t>
    </r>
    <r>
      <rPr>
        <sz val="9"/>
        <color rgb="FF000000"/>
        <rFont val="Calibri"/>
        <family val="2"/>
      </rPr>
      <t xml:space="preserve"> </t>
    </r>
    <r>
      <rPr>
        <sz val="9"/>
        <color rgb="FF000000"/>
        <rFont val="맑은 고딕"/>
        <family val="3"/>
        <charset val="129"/>
      </rPr>
      <t>값을</t>
    </r>
    <r>
      <rPr>
        <sz val="9"/>
        <color rgb="FF000000"/>
        <rFont val="Calibri"/>
        <family val="2"/>
      </rPr>
      <t xml:space="preserve"> </t>
    </r>
    <r>
      <rPr>
        <sz val="9"/>
        <color rgb="FF000000"/>
        <rFont val="맑은 고딕"/>
        <family val="3"/>
        <charset val="129"/>
      </rPr>
      <t>채우거나</t>
    </r>
    <r>
      <rPr>
        <sz val="9"/>
        <color rgb="FF000000"/>
        <rFont val="Calibri"/>
        <family val="2"/>
      </rPr>
      <t xml:space="preserve"> </t>
    </r>
    <r>
      <rPr>
        <sz val="9"/>
        <color rgb="FF000000"/>
        <rFont val="맑은 고딕"/>
        <family val="3"/>
        <charset val="129"/>
      </rPr>
      <t>날짜를</t>
    </r>
    <r>
      <rPr>
        <sz val="9"/>
        <color rgb="FF000000"/>
        <rFont val="Calibri"/>
        <family val="2"/>
      </rPr>
      <t xml:space="preserve"> </t>
    </r>
    <r>
      <rPr>
        <sz val="9"/>
        <color rgb="FF000000"/>
        <rFont val="맑은 고딕"/>
        <family val="3"/>
        <charset val="129"/>
      </rPr>
      <t>지우세요</t>
    </r>
    <r>
      <rPr>
        <sz val="9"/>
        <color rgb="FF000000"/>
        <rFont val="Calibri"/>
        <family val="2"/>
      </rPr>
      <t>.</t>
    </r>
  </si>
  <si>
    <r>
      <t xml:space="preserve">{} sheet </t>
    </r>
    <r>
      <rPr>
        <sz val="9"/>
        <color rgb="FF000000"/>
        <rFont val="맑은 고딕"/>
        <family val="3"/>
        <charset val="129"/>
      </rPr>
      <t>첫행의</t>
    </r>
    <r>
      <rPr>
        <sz val="9"/>
        <color rgb="FF000000"/>
        <rFont val="Calibri"/>
        <family val="2"/>
      </rPr>
      <t xml:space="preserve"> </t>
    </r>
    <r>
      <rPr>
        <sz val="9"/>
        <color rgb="FF000000"/>
        <rFont val="맑은 고딕"/>
        <family val="3"/>
        <charset val="129"/>
      </rPr>
      <t>작업이</t>
    </r>
    <r>
      <rPr>
        <sz val="9"/>
        <color rgb="FF000000"/>
        <rFont val="Calibri"/>
        <family val="2"/>
      </rPr>
      <t xml:space="preserve"> 1 Level</t>
    </r>
    <r>
      <rPr>
        <sz val="9"/>
        <color rgb="FF000000"/>
        <rFont val="맑은 고딕"/>
        <family val="3"/>
        <charset val="129"/>
      </rPr>
      <t>이</t>
    </r>
    <r>
      <rPr>
        <sz val="9"/>
        <color rgb="FF000000"/>
        <rFont val="Calibri"/>
        <family val="2"/>
      </rPr>
      <t xml:space="preserve"> </t>
    </r>
    <r>
      <rPr>
        <sz val="9"/>
        <color rgb="FF000000"/>
        <rFont val="맑은 고딕"/>
        <family val="3"/>
        <charset val="129"/>
      </rPr>
      <t>아닙니다</t>
    </r>
    <r>
      <rPr>
        <sz val="9"/>
        <color rgb="FF000000"/>
        <rFont val="Calibri"/>
        <family val="2"/>
      </rPr>
      <t xml:space="preserve">. </t>
    </r>
    <r>
      <rPr>
        <sz val="9"/>
        <color rgb="FF000000"/>
        <rFont val="맑은 고딕"/>
        <family val="3"/>
        <charset val="129"/>
      </rPr>
      <t>첫행의</t>
    </r>
    <r>
      <rPr>
        <sz val="9"/>
        <color rgb="FF000000"/>
        <rFont val="Calibri"/>
        <family val="2"/>
      </rPr>
      <t xml:space="preserve"> </t>
    </r>
    <r>
      <rPr>
        <sz val="9"/>
        <color rgb="FF000000"/>
        <rFont val="맑은 고딕"/>
        <family val="3"/>
        <charset val="129"/>
      </rPr>
      <t>작업이</t>
    </r>
    <r>
      <rPr>
        <sz val="9"/>
        <color rgb="FF000000"/>
        <rFont val="Calibri"/>
        <family val="2"/>
      </rPr>
      <t xml:space="preserve"> </t>
    </r>
    <r>
      <rPr>
        <sz val="9"/>
        <color rgb="FF000000"/>
        <rFont val="맑은 고딕"/>
        <family val="3"/>
        <charset val="129"/>
      </rPr>
      <t>첫째칸이</t>
    </r>
    <r>
      <rPr>
        <sz val="9"/>
        <color rgb="FF000000"/>
        <rFont val="Calibri"/>
        <family val="2"/>
      </rPr>
      <t xml:space="preserve"> </t>
    </r>
    <r>
      <rPr>
        <sz val="9"/>
        <color rgb="FF000000"/>
        <rFont val="맑은 고딕"/>
        <family val="3"/>
        <charset val="129"/>
      </rPr>
      <t>아닌</t>
    </r>
    <r>
      <rPr>
        <sz val="9"/>
        <color rgb="FF000000"/>
        <rFont val="Calibri"/>
        <family val="2"/>
      </rPr>
      <t xml:space="preserve"> </t>
    </r>
    <r>
      <rPr>
        <sz val="9"/>
        <color rgb="FF000000"/>
        <rFont val="맑은 고딕"/>
        <family val="3"/>
        <charset val="129"/>
      </rPr>
      <t>다른</t>
    </r>
    <r>
      <rPr>
        <sz val="9"/>
        <color rgb="FF000000"/>
        <rFont val="Calibri"/>
        <family val="2"/>
      </rPr>
      <t xml:space="preserve"> </t>
    </r>
    <r>
      <rPr>
        <sz val="9"/>
        <color rgb="FF000000"/>
        <rFont val="맑은 고딕"/>
        <family val="3"/>
        <charset val="129"/>
      </rPr>
      <t>칸에</t>
    </r>
    <r>
      <rPr>
        <sz val="9"/>
        <color rgb="FF000000"/>
        <rFont val="Calibri"/>
        <family val="2"/>
      </rPr>
      <t xml:space="preserve"> </t>
    </r>
    <r>
      <rPr>
        <sz val="9"/>
        <color rgb="FF000000"/>
        <rFont val="맑은 고딕"/>
        <family val="3"/>
        <charset val="129"/>
      </rPr>
      <t>입력되었는지</t>
    </r>
    <r>
      <rPr>
        <sz val="9"/>
        <color rgb="FF000000"/>
        <rFont val="Calibri"/>
        <family val="2"/>
      </rPr>
      <t xml:space="preserve"> </t>
    </r>
    <r>
      <rPr>
        <sz val="9"/>
        <color rgb="FF000000"/>
        <rFont val="맑은 고딕"/>
        <family val="3"/>
        <charset val="129"/>
      </rPr>
      <t>확인하세요</t>
    </r>
    <r>
      <rPr>
        <sz val="9"/>
        <color rgb="FF000000"/>
        <rFont val="Calibri"/>
        <family val="2"/>
      </rPr>
      <t>.</t>
    </r>
  </si>
  <si>
    <t>The date field of row number {1} in the {2} sheet was entered, but the task field is empty.\nEnter a value in the task field or clear the date field.</t>
  </si>
  <si>
    <r>
      <t xml:space="preserve">Chart </t>
    </r>
    <r>
      <rPr>
        <sz val="9"/>
        <color rgb="FF000000"/>
        <rFont val="맑은 고딕"/>
        <family val="3"/>
        <charset val="129"/>
      </rPr>
      <t>내부</t>
    </r>
  </si>
  <si>
    <r>
      <t xml:space="preserve">Chart </t>
    </r>
    <r>
      <rPr>
        <sz val="9"/>
        <color rgb="FF000000"/>
        <rFont val="맑은 고딕"/>
        <family val="3"/>
        <charset val="129"/>
      </rPr>
      <t>왼쪽</t>
    </r>
  </si>
  <si>
    <r>
      <t>yyyy</t>
    </r>
    <r>
      <rPr>
        <sz val="9"/>
        <color rgb="FF000000"/>
        <rFont val="맑은 고딕"/>
        <family val="3"/>
        <charset val="129"/>
      </rPr>
      <t>년</t>
    </r>
    <r>
      <rPr>
        <sz val="9"/>
        <color rgb="FF000000"/>
        <rFont val="Calibri"/>
        <family val="2"/>
      </rPr>
      <t xml:space="preserve"> m</t>
    </r>
    <r>
      <rPr>
        <sz val="9"/>
        <color rgb="FF000000"/>
        <rFont val="맑은 고딕"/>
        <family val="3"/>
        <charset val="129"/>
      </rPr>
      <t>월</t>
    </r>
  </si>
  <si>
    <r>
      <rPr>
        <sz val="9"/>
        <color rgb="FF000000"/>
        <rFont val="맑은 고딕"/>
        <family val="3"/>
        <charset val="129"/>
      </rPr>
      <t>일정변경관리</t>
    </r>
    <r>
      <rPr>
        <sz val="9"/>
        <color rgb="FF000000"/>
        <rFont val="Calibri"/>
        <family val="2"/>
      </rPr>
      <t xml:space="preserve"> </t>
    </r>
    <r>
      <rPr>
        <sz val="9"/>
        <color rgb="FF000000"/>
        <rFont val="맑은 고딕"/>
        <family val="3"/>
        <charset val="129"/>
      </rPr>
      <t>할때</t>
    </r>
    <r>
      <rPr>
        <sz val="9"/>
        <color rgb="FF000000"/>
        <rFont val="Calibri"/>
        <family val="2"/>
      </rPr>
      <t xml:space="preserve"> </t>
    </r>
    <r>
      <rPr>
        <sz val="9"/>
        <color rgb="FF000000"/>
        <rFont val="맑은 고딕"/>
        <family val="3"/>
        <charset val="129"/>
      </rPr>
      <t>계획일정대비</t>
    </r>
    <r>
      <rPr>
        <sz val="9"/>
        <color rgb="FF000000"/>
        <rFont val="Calibri"/>
        <family val="2"/>
      </rPr>
      <t xml:space="preserve"> </t>
    </r>
    <r>
      <rPr>
        <sz val="9"/>
        <color rgb="FF000000"/>
        <rFont val="맑은 고딕"/>
        <family val="3"/>
        <charset val="129"/>
      </rPr>
      <t>진행된</t>
    </r>
    <r>
      <rPr>
        <sz val="9"/>
        <color rgb="FF000000"/>
        <rFont val="Calibri"/>
        <family val="2"/>
      </rPr>
      <t xml:space="preserve"> </t>
    </r>
    <r>
      <rPr>
        <sz val="9"/>
        <color rgb="FF000000"/>
        <rFont val="맑은 고딕"/>
        <family val="3"/>
        <charset val="129"/>
      </rPr>
      <t>작업량</t>
    </r>
    <r>
      <rPr>
        <sz val="9"/>
        <color rgb="FF000000"/>
        <rFont val="Calibri"/>
        <family val="2"/>
      </rPr>
      <t>(</t>
    </r>
    <r>
      <rPr>
        <sz val="9"/>
        <color rgb="FF000000"/>
        <rFont val="맑은 고딕"/>
        <family val="3"/>
        <charset val="129"/>
      </rPr>
      <t>총기간</t>
    </r>
    <r>
      <rPr>
        <sz val="9"/>
        <color rgb="FF000000"/>
        <rFont val="Calibri"/>
        <family val="2"/>
      </rPr>
      <t xml:space="preserve"> x </t>
    </r>
    <r>
      <rPr>
        <sz val="9"/>
        <color rgb="FF000000"/>
        <rFont val="맑은 고딕"/>
        <family val="3"/>
        <charset val="129"/>
      </rPr>
      <t>총실적진행율</t>
    </r>
    <r>
      <rPr>
        <sz val="9"/>
        <color rgb="FF000000"/>
        <rFont val="Calibri"/>
        <family val="2"/>
      </rPr>
      <t>)</t>
    </r>
  </si>
  <si>
    <r>
      <rPr>
        <sz val="9"/>
        <color rgb="FF000000"/>
        <rFont val="맑은 고딕"/>
        <family val="3"/>
        <charset val="129"/>
      </rPr>
      <t>계획진척율</t>
    </r>
    <r>
      <rPr>
        <sz val="9"/>
        <color rgb="FF000000"/>
        <rFont val="Calibri"/>
        <family val="2"/>
      </rPr>
      <t xml:space="preserve"> </t>
    </r>
    <r>
      <rPr>
        <sz val="9"/>
        <color rgb="FF000000"/>
        <rFont val="맑은 고딕"/>
        <family val="3"/>
        <charset val="129"/>
      </rPr>
      <t>계산</t>
    </r>
    <r>
      <rPr>
        <sz val="9"/>
        <color rgb="FF000000"/>
        <rFont val="Calibri"/>
        <family val="2"/>
      </rPr>
      <t xml:space="preserve"> </t>
    </r>
    <r>
      <rPr>
        <sz val="9"/>
        <color rgb="FF000000"/>
        <rFont val="맑은 고딕"/>
        <family val="3"/>
        <charset val="129"/>
      </rPr>
      <t>기준일자는</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시작일보다</t>
    </r>
    <r>
      <rPr>
        <sz val="9"/>
        <color rgb="FF000000"/>
        <rFont val="Calibri"/>
        <family val="2"/>
      </rPr>
      <t xml:space="preserve"> </t>
    </r>
    <r>
      <rPr>
        <sz val="9"/>
        <color rgb="FF000000"/>
        <rFont val="맑은 고딕"/>
        <family val="3"/>
        <charset val="129"/>
      </rPr>
      <t>크거나</t>
    </r>
    <r>
      <rPr>
        <sz val="9"/>
        <color rgb="FF000000"/>
        <rFont val="Calibri"/>
        <family val="2"/>
      </rPr>
      <t xml:space="preserve"> </t>
    </r>
    <r>
      <rPr>
        <sz val="9"/>
        <color rgb="FF000000"/>
        <rFont val="맑은 고딕"/>
        <family val="3"/>
        <charset val="129"/>
      </rPr>
      <t>같아야</t>
    </r>
    <r>
      <rPr>
        <sz val="9"/>
        <color rgb="FF000000"/>
        <rFont val="Calibri"/>
        <family val="2"/>
      </rPr>
      <t xml:space="preserve"> </t>
    </r>
    <r>
      <rPr>
        <sz val="9"/>
        <color rgb="FF000000"/>
        <rFont val="맑은 고딕"/>
        <family val="3"/>
        <charset val="129"/>
      </rPr>
      <t>합니다</t>
    </r>
    <r>
      <rPr>
        <sz val="9"/>
        <color rgb="FF000000"/>
        <rFont val="Calibri"/>
        <family val="2"/>
      </rPr>
      <t>.</t>
    </r>
  </si>
  <si>
    <t xml:space="preserve">       Field Name           Field Value</t>
  </si>
  <si>
    <t>The following folder does not exist.</t>
  </si>
  <si>
    <t>There is no data in the following files</t>
  </si>
  <si>
    <t>평소에 목표로 한 구현 기능을 정리해서 발표자료 구성을 생각해놓아야 함</t>
  </si>
  <si>
    <r>
      <rPr>
        <sz val="9"/>
        <color rgb="FF000000"/>
        <rFont val="맑은 고딕"/>
        <family val="3"/>
        <charset val="129"/>
      </rPr>
      <t>계획진척율</t>
    </r>
    <r>
      <rPr>
        <sz val="9"/>
        <color rgb="FF000000"/>
        <rFont val="Calibri"/>
        <family val="2"/>
      </rPr>
      <t xml:space="preserve"> </t>
    </r>
    <r>
      <rPr>
        <sz val="9"/>
        <color rgb="FF000000"/>
        <rFont val="맑은 고딕"/>
        <family val="3"/>
        <charset val="129"/>
      </rPr>
      <t>계산</t>
    </r>
    <r>
      <rPr>
        <sz val="9"/>
        <color rgb="FF000000"/>
        <rFont val="Calibri"/>
        <family val="2"/>
      </rPr>
      <t xml:space="preserve"> </t>
    </r>
    <r>
      <rPr>
        <sz val="9"/>
        <color rgb="FF000000"/>
        <rFont val="맑은 고딕"/>
        <family val="3"/>
        <charset val="129"/>
      </rPr>
      <t>기준일자는</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완료일보다</t>
    </r>
    <r>
      <rPr>
        <sz val="9"/>
        <color rgb="FF000000"/>
        <rFont val="Calibri"/>
        <family val="2"/>
      </rPr>
      <t xml:space="preserve"> </t>
    </r>
    <r>
      <rPr>
        <sz val="9"/>
        <color rgb="FF000000"/>
        <rFont val="맑은 고딕"/>
        <family val="3"/>
        <charset val="129"/>
      </rPr>
      <t>작거나</t>
    </r>
    <r>
      <rPr>
        <sz val="9"/>
        <color rgb="FF000000"/>
        <rFont val="Calibri"/>
        <family val="2"/>
      </rPr>
      <t xml:space="preserve"> </t>
    </r>
    <r>
      <rPr>
        <sz val="9"/>
        <color rgb="FF000000"/>
        <rFont val="맑은 고딕"/>
        <family val="3"/>
        <charset val="129"/>
      </rPr>
      <t>같아야</t>
    </r>
    <r>
      <rPr>
        <sz val="9"/>
        <color rgb="FF000000"/>
        <rFont val="Calibri"/>
        <family val="2"/>
      </rPr>
      <t xml:space="preserve"> </t>
    </r>
    <r>
      <rPr>
        <sz val="9"/>
        <color rgb="FF000000"/>
        <rFont val="맑은 고딕"/>
        <family val="3"/>
        <charset val="129"/>
      </rPr>
      <t>합니다</t>
    </r>
    <r>
      <rPr>
        <sz val="9"/>
        <color rgb="FF000000"/>
        <rFont val="Calibri"/>
        <family val="2"/>
      </rPr>
      <t>.</t>
    </r>
  </si>
  <si>
    <t>Performed workload on planned schedule</t>
  </si>
  <si>
    <r>
      <rPr>
        <sz val="9"/>
        <color rgb="FF000000"/>
        <rFont val="맑은 고딕"/>
        <family val="3"/>
        <charset val="129"/>
      </rPr>
      <t>실제총작업량</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</si>
  <si>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rPr>
        <sz val="9"/>
        <color rgb="FF000000"/>
        <rFont val="맑은 고딕"/>
        <family val="3"/>
        <charset val="129"/>
      </rPr>
      <t>작업명으로</t>
    </r>
    <r>
      <rPr>
        <sz val="9"/>
        <color rgb="FF000000"/>
        <rFont val="Calibri"/>
        <family val="2"/>
      </rPr>
      <t xml:space="preserve"> </t>
    </r>
    <r>
      <rPr>
        <sz val="9"/>
        <color rgb="FF000000"/>
        <rFont val="맑은 고딕"/>
        <family val="3"/>
        <charset val="129"/>
      </rPr>
      <t>경로</t>
    </r>
    <r>
      <rPr>
        <sz val="9"/>
        <color rgb="FF000000"/>
        <rFont val="Calibri"/>
        <family val="2"/>
      </rPr>
      <t xml:space="preserve"> </t>
    </r>
    <r>
      <rPr>
        <sz val="9"/>
        <color rgb="FF000000"/>
        <rFont val="맑은 고딕"/>
        <family val="3"/>
        <charset val="129"/>
      </rPr>
      <t>자동지정</t>
    </r>
    <r>
      <rPr>
        <sz val="9"/>
        <color rgb="FF000000"/>
        <rFont val="Calibri"/>
        <family val="2"/>
      </rPr>
      <t>(</t>
    </r>
    <r>
      <rPr>
        <sz val="9"/>
        <color rgb="FF000000"/>
        <rFont val="맑은 고딕"/>
        <family val="3"/>
        <charset val="129"/>
      </rPr>
      <t>이</t>
    </r>
    <r>
      <rPr>
        <sz val="9"/>
        <color rgb="FF000000"/>
        <rFont val="Calibri"/>
        <family val="2"/>
      </rPr>
      <t xml:space="preserve"> </t>
    </r>
    <r>
      <rPr>
        <sz val="9"/>
        <color rgb="FF000000"/>
        <rFont val="맑은 고딕"/>
        <family val="3"/>
        <charset val="129"/>
      </rPr>
      <t>경우</t>
    </r>
    <r>
      <rPr>
        <sz val="9"/>
        <color rgb="FF000000"/>
        <rFont val="Calibri"/>
        <family val="2"/>
      </rPr>
      <t xml:space="preserve"> </t>
    </r>
    <r>
      <rPr>
        <sz val="9"/>
        <color rgb="FF000000"/>
        <rFont val="맑은 고딕"/>
        <family val="3"/>
        <charset val="129"/>
      </rPr>
      <t>자동지정된</t>
    </r>
    <r>
      <rPr>
        <sz val="9"/>
        <color rgb="FF000000"/>
        <rFont val="Calibri"/>
        <family val="2"/>
      </rPr>
      <t xml:space="preserve"> </t>
    </r>
    <r>
      <rPr>
        <sz val="9"/>
        <color rgb="FF000000"/>
        <rFont val="맑은 고딕"/>
        <family val="3"/>
        <charset val="129"/>
      </rPr>
      <t>경로의</t>
    </r>
    <r>
      <rPr>
        <sz val="9"/>
        <color rgb="FF000000"/>
        <rFont val="Calibri"/>
        <family val="2"/>
      </rPr>
      <t xml:space="preserve"> </t>
    </r>
    <r>
      <rPr>
        <sz val="9"/>
        <color rgb="FF000000"/>
        <rFont val="맑은 고딕"/>
        <family val="3"/>
        <charset val="129"/>
      </rPr>
      <t>상위경로를</t>
    </r>
    <r>
      <rPr>
        <sz val="9"/>
        <color rgb="FF000000"/>
        <rFont val="Calibri"/>
        <family val="2"/>
      </rPr>
      <t xml:space="preserve"> </t>
    </r>
    <r>
      <rPr>
        <sz val="9"/>
        <color rgb="FF000000"/>
        <rFont val="맑은 고딕"/>
        <family val="3"/>
        <charset val="129"/>
      </rPr>
      <t>입력</t>
    </r>
    <r>
      <rPr>
        <sz val="9"/>
        <color rgb="FF000000"/>
        <rFont val="Calibri"/>
        <family val="2"/>
      </rPr>
      <t xml:space="preserve">) </t>
    </r>
  </si>
  <si>
    <r>
      <rPr>
        <sz val="9"/>
        <color rgb="FF000000"/>
        <rFont val="맑은 고딕"/>
        <family val="3"/>
        <charset val="129"/>
      </rPr>
      <t>각</t>
    </r>
    <r>
      <rPr>
        <sz val="9"/>
        <color rgb="FF000000"/>
        <rFont val="Calibri"/>
        <family val="2"/>
      </rPr>
      <t xml:space="preserve"> </t>
    </r>
    <r>
      <rPr>
        <sz val="9"/>
        <color rgb="FF000000"/>
        <rFont val="맑은 고딕"/>
        <family val="3"/>
        <charset val="129"/>
      </rPr>
      <t>작업의</t>
    </r>
    <r>
      <rPr>
        <sz val="9"/>
        <color rgb="FF000000"/>
        <rFont val="Calibri"/>
        <family val="2"/>
      </rPr>
      <t xml:space="preserve"> </t>
    </r>
    <r>
      <rPr>
        <sz val="9"/>
        <color rgb="FF000000"/>
        <rFont val="맑은 고딕"/>
        <family val="3"/>
        <charset val="129"/>
      </rPr>
      <t>실제시작일을</t>
    </r>
    <r>
      <rPr>
        <sz val="9"/>
        <color rgb="FF000000"/>
        <rFont val="Calibri"/>
        <family val="2"/>
      </rPr>
      <t xml:space="preserve"> </t>
    </r>
    <r>
      <rPr>
        <sz val="9"/>
        <color rgb="FF000000"/>
        <rFont val="맑은 고딕"/>
        <family val="3"/>
        <charset val="129"/>
      </rPr>
      <t>표시합니다</t>
    </r>
    <r>
      <rPr>
        <sz val="9"/>
        <color rgb="FF000000"/>
        <rFont val="Calibri"/>
        <family val="2"/>
      </rPr>
      <t xml:space="preserve">. </t>
    </r>
    <r>
      <rPr>
        <sz val="9"/>
        <color rgb="FF000000"/>
        <rFont val="맑은 고딕"/>
        <family val="3"/>
        <charset val="129"/>
      </rPr>
      <t>반드시</t>
    </r>
    <r>
      <rPr>
        <sz val="9"/>
        <color rgb="FF000000"/>
        <rFont val="Calibri"/>
        <family val="2"/>
      </rPr>
      <t xml:space="preserve"> </t>
    </r>
    <r>
      <rPr>
        <sz val="9"/>
        <color rgb="FF000000"/>
        <rFont val="맑은 고딕"/>
        <family val="3"/>
        <charset val="129"/>
      </rPr>
      <t>날짜</t>
    </r>
    <r>
      <rPr>
        <sz val="9"/>
        <color rgb="FF000000"/>
        <rFont val="Calibri"/>
        <family val="2"/>
      </rPr>
      <t xml:space="preserve"> </t>
    </r>
    <r>
      <rPr>
        <sz val="9"/>
        <color rgb="FF000000"/>
        <rFont val="맑은 고딕"/>
        <family val="3"/>
        <charset val="129"/>
      </rPr>
      <t>형식이어야</t>
    </r>
    <r>
      <rPr>
        <sz val="9"/>
        <color rgb="FF000000"/>
        <rFont val="Calibri"/>
        <family val="2"/>
      </rPr>
      <t xml:space="preserve"> </t>
    </r>
    <r>
      <rPr>
        <sz val="9"/>
        <color rgb="FF000000"/>
        <rFont val="맑은 고딕"/>
        <family val="3"/>
        <charset val="129"/>
      </rPr>
      <t>합니다</t>
    </r>
    <r>
      <rPr>
        <sz val="9"/>
        <color rgb="FF000000"/>
        <rFont val="Calibri"/>
        <family val="2"/>
      </rPr>
      <t>.</t>
    </r>
  </si>
  <si>
    <t>The job was not completed successfully.</t>
  </si>
  <si>
    <r>
      <rPr>
        <sz val="9"/>
        <color rgb="FF000000"/>
        <rFont val="맑은 고딕"/>
        <family val="3"/>
        <charset val="129"/>
      </rPr>
      <t>사용하고</t>
    </r>
    <r>
      <rPr>
        <sz val="9"/>
        <color rgb="FF000000"/>
        <rFont val="Calibri"/>
        <family val="2"/>
      </rPr>
      <t xml:space="preserve"> </t>
    </r>
    <r>
      <rPr>
        <sz val="9"/>
        <color rgb="FF000000"/>
        <rFont val="맑은 고딕"/>
        <family val="3"/>
        <charset val="129"/>
      </rPr>
      <t>계신</t>
    </r>
    <r>
      <rPr>
        <sz val="9"/>
        <color rgb="FF000000"/>
        <rFont val="Calibri"/>
        <family val="2"/>
      </rPr>
      <t xml:space="preserve"> XLGantt</t>
    </r>
    <r>
      <rPr>
        <sz val="9"/>
        <color rgb="FF000000"/>
        <rFont val="맑은 고딕"/>
        <family val="3"/>
        <charset val="129"/>
      </rPr>
      <t>는</t>
    </r>
    <r>
      <rPr>
        <sz val="9"/>
        <color rgb="FF000000"/>
        <rFont val="Calibri"/>
        <family val="2"/>
      </rPr>
      <t xml:space="preserve"> </t>
    </r>
    <r>
      <rPr>
        <sz val="9"/>
        <color rgb="FF000000"/>
        <rFont val="맑은 고딕"/>
        <family val="3"/>
        <charset val="129"/>
      </rPr>
      <t>최신</t>
    </r>
    <r>
      <rPr>
        <sz val="9"/>
        <color rgb="FF000000"/>
        <rFont val="Calibri"/>
        <family val="2"/>
      </rPr>
      <t xml:space="preserve"> </t>
    </r>
    <r>
      <rPr>
        <sz val="9"/>
        <color rgb="FF000000"/>
        <rFont val="맑은 고딕"/>
        <family val="3"/>
        <charset val="129"/>
      </rPr>
      <t>버전입니다</t>
    </r>
    <r>
      <rPr>
        <sz val="9"/>
        <color rgb="FF000000"/>
        <rFont val="Calibri"/>
        <family val="2"/>
      </rPr>
      <t>.\n</t>
    </r>
    <r>
      <rPr>
        <sz val="9"/>
        <color rgb="FF000000"/>
        <rFont val="맑은 고딕"/>
        <family val="3"/>
        <charset val="129"/>
      </rPr>
      <t>현재</t>
    </r>
    <r>
      <rPr>
        <sz val="9"/>
        <color rgb="FF000000"/>
        <rFont val="Calibri"/>
        <family val="2"/>
      </rPr>
      <t xml:space="preserve"> </t>
    </r>
    <r>
      <rPr>
        <sz val="9"/>
        <color rgb="FF000000"/>
        <rFont val="맑은 고딕"/>
        <family val="3"/>
        <charset val="129"/>
      </rPr>
      <t>버전</t>
    </r>
    <r>
      <rPr>
        <sz val="9"/>
        <color rgb="FF000000"/>
        <rFont val="Calibri"/>
        <family val="2"/>
      </rPr>
      <t xml:space="preserve"> : {}</t>
    </r>
  </si>
  <si>
    <t>Display the task name in the same field</t>
  </si>
  <si>
    <t>Search for the tasks based on criteria.</t>
  </si>
  <si>
    <t xml:space="preserve">           Field Name         Example</t>
  </si>
  <si>
    <t>{} "Outlook Task(s)" have been added.</t>
  </si>
  <si>
    <t>No need to enter in the Calendar sheet</t>
  </si>
  <si>
    <t>Please choose a type of the task field.</t>
  </si>
  <si>
    <t>You can't choose a field that is empty.</t>
  </si>
  <si>
    <t>Flow chart
라즈베리파이 동작의 흐름을 플로우 차트로 구현</t>
  </si>
  <si>
    <r>
      <rPr>
        <sz val="9"/>
        <color rgb="FF000000"/>
        <rFont val="맑은 고딕"/>
        <family val="3"/>
        <charset val="129"/>
      </rPr>
      <t>실제진척율</t>
    </r>
    <r>
      <rPr>
        <sz val="9"/>
        <color rgb="FF000000"/>
        <rFont val="Calibri"/>
        <family val="2"/>
      </rPr>
      <t xml:space="preserve"> </t>
    </r>
    <r>
      <rPr>
        <sz val="9"/>
        <color rgb="FF000000"/>
        <rFont val="맑은 고딕"/>
        <family val="3"/>
        <charset val="129"/>
      </rPr>
      <t>필드입니다</t>
    </r>
    <r>
      <rPr>
        <sz val="9"/>
        <color rgb="FF000000"/>
        <rFont val="Calibri"/>
        <family val="2"/>
      </rPr>
      <t xml:space="preserve">. </t>
    </r>
    <r>
      <rPr>
        <sz val="9"/>
        <color rgb="FF000000"/>
        <rFont val="맑은 고딕"/>
        <family val="3"/>
        <charset val="129"/>
      </rPr>
      <t>현재까지</t>
    </r>
    <r>
      <rPr>
        <sz val="9"/>
        <color rgb="FF000000"/>
        <rFont val="Calibri"/>
        <family val="2"/>
      </rPr>
      <t xml:space="preserve"> </t>
    </r>
    <r>
      <rPr>
        <sz val="9"/>
        <color rgb="FF000000"/>
        <rFont val="맑은 고딕"/>
        <family val="3"/>
        <charset val="129"/>
      </rPr>
      <t>실제</t>
    </r>
    <r>
      <rPr>
        <sz val="9"/>
        <color rgb="FF000000"/>
        <rFont val="Calibri"/>
        <family val="2"/>
      </rPr>
      <t xml:space="preserve"> </t>
    </r>
    <r>
      <rPr>
        <sz val="9"/>
        <color rgb="FF000000"/>
        <rFont val="맑은 고딕"/>
        <family val="3"/>
        <charset val="129"/>
      </rPr>
      <t>진척된</t>
    </r>
    <r>
      <rPr>
        <sz val="9"/>
        <color rgb="FF000000"/>
        <rFont val="Calibri"/>
        <family val="2"/>
      </rPr>
      <t xml:space="preserve"> </t>
    </r>
    <r>
      <rPr>
        <sz val="9"/>
        <color rgb="FF000000"/>
        <rFont val="맑은 고딕"/>
        <family val="3"/>
        <charset val="129"/>
      </rPr>
      <t>작업량을</t>
    </r>
    <r>
      <rPr>
        <sz val="9"/>
        <color rgb="FF000000"/>
        <rFont val="Calibri"/>
        <family val="2"/>
      </rPr>
      <t xml:space="preserve"> %</t>
    </r>
    <r>
      <rPr>
        <sz val="9"/>
        <color rgb="FF000000"/>
        <rFont val="맑은 고딕"/>
        <family val="3"/>
        <charset val="129"/>
      </rPr>
      <t>로</t>
    </r>
    <r>
      <rPr>
        <sz val="9"/>
        <color rgb="FF000000"/>
        <rFont val="Calibri"/>
        <family val="2"/>
      </rPr>
      <t xml:space="preserve"> </t>
    </r>
    <r>
      <rPr>
        <sz val="9"/>
        <color rgb="FF000000"/>
        <rFont val="맑은 고딕"/>
        <family val="3"/>
        <charset val="129"/>
      </rPr>
      <t>표현합니다</t>
    </r>
    <r>
      <rPr>
        <sz val="9"/>
        <color rgb="FF000000"/>
        <rFont val="Calibri"/>
        <family val="2"/>
      </rPr>
      <t>.</t>
    </r>
  </si>
  <si>
    <t>You can edit task only on the {} sheet.</t>
  </si>
  <si>
    <t>Updating schedule... \nplease wait...</t>
  </si>
  <si>
    <t>&lt;&lt; Unmap</t>
  </si>
  <si>
    <t>&lt;&lt; Remove</t>
  </si>
  <si>
    <t>All tasks</t>
  </si>
  <si>
    <t>Calendar</t>
  </si>
  <si>
    <t>설계 문서 작성</t>
  </si>
  <si>
    <r>
      <rPr>
        <sz val="9"/>
        <color rgb="FF000000"/>
        <rFont val="맑은 고딕"/>
        <family val="3"/>
        <charset val="129"/>
      </rPr>
      <t>월</t>
    </r>
  </si>
  <si>
    <t>실적</t>
  </si>
  <si>
    <t>Etc</t>
  </si>
  <si>
    <r>
      <rPr>
        <sz val="9"/>
        <color rgb="FF000000"/>
        <rFont val="맑은 고딕"/>
        <family val="3"/>
        <charset val="129"/>
      </rPr>
      <t>포함</t>
    </r>
  </si>
  <si>
    <t>...</t>
  </si>
  <si>
    <t>wbs</t>
  </si>
  <si>
    <t>Sun</t>
  </si>
  <si>
    <t>김길동</t>
  </si>
  <si>
    <t>구현</t>
  </si>
  <si>
    <t>멘토링</t>
  </si>
  <si>
    <r>
      <rPr>
        <sz val="9"/>
        <color rgb="FF000000"/>
        <rFont val="맑은 고딕"/>
        <family val="3"/>
        <charset val="129"/>
      </rPr>
      <t>일별</t>
    </r>
  </si>
  <si>
    <t>Thu</t>
  </si>
  <si>
    <t>WBS</t>
  </si>
  <si>
    <t>Sat</t>
  </si>
  <si>
    <t>Mon</t>
  </si>
  <si>
    <t>Tue</t>
  </si>
  <si>
    <r>
      <rPr>
        <sz val="9"/>
        <color rgb="FF000000"/>
        <rFont val="돋움"/>
        <family val="3"/>
        <charset val="129"/>
      </rPr>
      <t>실적</t>
    </r>
  </si>
  <si>
    <r>
      <rPr>
        <sz val="9"/>
        <color rgb="FF000000"/>
        <rFont val="맑은 고딕"/>
        <family val="3"/>
        <charset val="129"/>
      </rPr>
      <t>취소</t>
    </r>
  </si>
  <si>
    <r>
      <rPr>
        <sz val="9"/>
        <color rgb="FF000000"/>
        <rFont val="맑은 고딕"/>
        <family val="3"/>
        <charset val="129"/>
      </rPr>
      <t>완료</t>
    </r>
  </si>
  <si>
    <t>계획</t>
  </si>
  <si>
    <t>Wed</t>
  </si>
  <si>
    <t>Fri</t>
  </si>
  <si>
    <t>이개발</t>
  </si>
  <si>
    <r>
      <rPr>
        <sz val="9"/>
        <color rgb="FF000000"/>
        <rFont val="맑은 고딕"/>
        <family val="3"/>
        <charset val="129"/>
      </rPr>
      <t>금</t>
    </r>
  </si>
  <si>
    <r>
      <rPr>
        <sz val="9"/>
        <color rgb="FF000000"/>
        <rFont val="맑은 고딕"/>
        <family val="3"/>
        <charset val="129"/>
      </rPr>
      <t>비고</t>
    </r>
  </si>
  <si>
    <r>
      <rPr>
        <sz val="9"/>
        <color rgb="FF000000"/>
        <rFont val="맑은 고딕"/>
        <family val="3"/>
        <charset val="129"/>
      </rPr>
      <t>옵션</t>
    </r>
  </si>
  <si>
    <r>
      <rPr>
        <sz val="9"/>
        <color rgb="FF000000"/>
        <rFont val="맑은 고딕"/>
        <family val="3"/>
        <charset val="129"/>
      </rPr>
      <t>엑셀</t>
    </r>
  </si>
  <si>
    <t>김프로</t>
  </si>
  <si>
    <r>
      <rPr>
        <sz val="9"/>
        <color rgb="FF000000"/>
        <rFont val="맑은 고딕"/>
        <family val="3"/>
        <charset val="129"/>
      </rPr>
      <t>산출물</t>
    </r>
  </si>
  <si>
    <t>G</t>
  </si>
  <si>
    <r>
      <rPr>
        <sz val="9"/>
        <color rgb="FF000000"/>
        <rFont val="돋움"/>
        <family val="3"/>
        <charset val="129"/>
      </rPr>
      <t>계획</t>
    </r>
  </si>
  <si>
    <r>
      <rPr>
        <sz val="9"/>
        <color rgb="FF000000"/>
        <rFont val="맑은 고딕"/>
        <family val="3"/>
        <charset val="129"/>
      </rPr>
      <t>완료율</t>
    </r>
  </si>
  <si>
    <r>
      <rPr>
        <sz val="9"/>
        <color rgb="FF000000"/>
        <rFont val="맑은 고딕"/>
        <family val="3"/>
        <charset val="129"/>
      </rPr>
      <t>저장</t>
    </r>
  </si>
  <si>
    <t>유아인</t>
  </si>
  <si>
    <r>
      <rPr>
        <sz val="9"/>
        <color rgb="FF000000"/>
        <rFont val="맑은 고딕"/>
        <family val="3"/>
        <charset val="129"/>
      </rPr>
      <t>분석</t>
    </r>
  </si>
  <si>
    <r>
      <rPr>
        <sz val="9"/>
        <color rgb="FF000000"/>
        <rFont val="맑은 고딕"/>
        <family val="3"/>
        <charset val="129"/>
      </rPr>
      <t>완료일</t>
    </r>
  </si>
  <si>
    <r>
      <rPr>
        <sz val="9"/>
        <color rgb="FF000000"/>
        <rFont val="맑은 고딕"/>
        <family val="3"/>
        <charset val="129"/>
      </rPr>
      <t>시작일</t>
    </r>
  </si>
  <si>
    <r>
      <rPr>
        <sz val="9"/>
        <color rgb="FF000000"/>
        <rFont val="맑은 고딕"/>
        <family val="3"/>
        <charset val="129"/>
      </rPr>
      <t>같음</t>
    </r>
  </si>
  <si>
    <r>
      <rPr>
        <sz val="9"/>
        <color rgb="FF000000"/>
        <rFont val="맑은 고딕"/>
        <family val="3"/>
        <charset val="129"/>
      </rPr>
      <t>실적</t>
    </r>
  </si>
  <si>
    <t>모듈A</t>
  </si>
  <si>
    <r>
      <rPr>
        <sz val="9"/>
        <color rgb="FF000000"/>
        <rFont val="맑은 고딕"/>
        <family val="3"/>
        <charset val="129"/>
      </rPr>
      <t>설정</t>
    </r>
  </si>
  <si>
    <r>
      <rPr>
        <sz val="9"/>
        <color rgb="FF000000"/>
        <rFont val="맑은 고딕"/>
        <family val="3"/>
        <charset val="129"/>
      </rPr>
      <t>일반</t>
    </r>
  </si>
  <si>
    <t>담당</t>
  </si>
  <si>
    <r>
      <rPr>
        <sz val="9"/>
        <color rgb="FF000000"/>
        <rFont val="맑은 고딕"/>
        <family val="3"/>
        <charset val="129"/>
      </rPr>
      <t>목</t>
    </r>
  </si>
  <si>
    <t>홍길동</t>
  </si>
  <si>
    <r>
      <rPr>
        <sz val="9"/>
        <color rgb="FF000000"/>
        <rFont val="맑은 고딕"/>
        <family val="3"/>
        <charset val="129"/>
      </rPr>
      <t>차트</t>
    </r>
  </si>
  <si>
    <r>
      <rPr>
        <sz val="9"/>
        <color rgb="FF000000"/>
        <rFont val="맑은 고딕"/>
        <family val="3"/>
        <charset val="129"/>
      </rPr>
      <t>가중치</t>
    </r>
  </si>
  <si>
    <r>
      <rPr>
        <sz val="9"/>
        <color rgb="FF000000"/>
        <rFont val="맑은 고딕"/>
        <family val="3"/>
        <charset val="129"/>
      </rPr>
      <t>화</t>
    </r>
  </si>
  <si>
    <r>
      <rPr>
        <sz val="9"/>
        <color rgb="FF000000"/>
        <rFont val="맑은 고딕"/>
        <family val="3"/>
        <charset val="129"/>
      </rPr>
      <t>오늘</t>
    </r>
  </si>
  <si>
    <t>모듈B</t>
  </si>
  <si>
    <r>
      <rPr>
        <sz val="9"/>
        <color rgb="FF000000"/>
        <rFont val="맑은 고딕"/>
        <family val="3"/>
        <charset val="129"/>
      </rPr>
      <t>미완료</t>
    </r>
  </si>
  <si>
    <r>
      <rPr>
        <sz val="9"/>
        <color rgb="FF000000"/>
        <rFont val="맑은 고딕"/>
        <family val="3"/>
        <charset val="129"/>
      </rPr>
      <t>닫기</t>
    </r>
  </si>
  <si>
    <r>
      <rPr>
        <sz val="9"/>
        <color rgb="FF000000"/>
        <rFont val="맑은 고딕"/>
        <family val="3"/>
        <charset val="129"/>
      </rPr>
      <t>진척율</t>
    </r>
  </si>
  <si>
    <r>
      <rPr>
        <sz val="9"/>
        <color rgb="FF000000"/>
        <rFont val="맑은 고딕"/>
        <family val="3"/>
        <charset val="129"/>
      </rPr>
      <t>월별</t>
    </r>
  </si>
  <si>
    <r>
      <rPr>
        <sz val="9"/>
        <color rgb="FF000000"/>
        <rFont val="맑은 고딕"/>
        <family val="3"/>
        <charset val="129"/>
      </rPr>
      <t>주별</t>
    </r>
  </si>
  <si>
    <r>
      <rPr>
        <sz val="9"/>
        <color rgb="FF000000"/>
        <rFont val="맑은 고딕"/>
        <family val="3"/>
        <charset val="129"/>
      </rPr>
      <t>일</t>
    </r>
  </si>
  <si>
    <t>정길동</t>
  </si>
  <si>
    <r>
      <rPr>
        <sz val="9"/>
        <color rgb="FF000000"/>
        <rFont val="맑은 고딕"/>
        <family val="3"/>
        <charset val="129"/>
      </rPr>
      <t>홍길동</t>
    </r>
  </si>
  <si>
    <r>
      <rPr>
        <sz val="9"/>
        <color rgb="FF000000"/>
        <rFont val="맑은 고딕"/>
        <family val="3"/>
        <charset val="129"/>
      </rPr>
      <t>토</t>
    </r>
  </si>
  <si>
    <r>
      <rPr>
        <sz val="9"/>
        <color rgb="FF000000"/>
        <rFont val="맑은 고딕"/>
        <family val="3"/>
        <charset val="129"/>
      </rPr>
      <t>계획</t>
    </r>
  </si>
  <si>
    <t>개발</t>
  </si>
  <si>
    <r>
      <rPr>
        <sz val="9"/>
        <color rgb="FF000000"/>
        <rFont val="맑은 고딕"/>
        <family val="3"/>
        <charset val="129"/>
      </rPr>
      <t>기간</t>
    </r>
  </si>
  <si>
    <r>
      <rPr>
        <sz val="9"/>
        <color rgb="FF000000"/>
        <rFont val="맑은 고딕"/>
        <family val="3"/>
        <charset val="129"/>
      </rPr>
      <t>언어</t>
    </r>
  </si>
  <si>
    <t>김아키</t>
  </si>
  <si>
    <t>E</t>
  </si>
  <si>
    <t>ace</t>
  </si>
  <si>
    <t>박개발</t>
  </si>
  <si>
    <t>메모장</t>
  </si>
  <si>
    <t>설계</t>
  </si>
  <si>
    <t>cad</t>
  </si>
  <si>
    <r>
      <rPr>
        <sz val="9"/>
        <color rgb="FF000000"/>
        <rFont val="맑은 고딕"/>
        <family val="3"/>
        <charset val="129"/>
      </rPr>
      <t>수</t>
    </r>
  </si>
  <si>
    <t>분석</t>
  </si>
  <si>
    <t>2.1</t>
  </si>
  <si>
    <r>
      <rPr>
        <sz val="9"/>
        <color rgb="FF000000"/>
        <rFont val="맑은 고딕"/>
        <family val="3"/>
        <charset val="129"/>
      </rPr>
      <t>작업명</t>
    </r>
  </si>
  <si>
    <r>
      <rPr>
        <sz val="9"/>
        <color rgb="FF000000"/>
        <rFont val="맑은 고딕"/>
        <family val="3"/>
        <charset val="129"/>
      </rPr>
      <t>작업</t>
    </r>
  </si>
  <si>
    <r>
      <rPr>
        <sz val="9"/>
        <color rgb="FF000000"/>
        <rFont val="맑은 고딕"/>
        <family val="3"/>
        <charset val="129"/>
      </rPr>
      <t>담당</t>
    </r>
  </si>
  <si>
    <t>2.4</t>
  </si>
  <si>
    <t>1.1</t>
  </si>
  <si>
    <t>최길동</t>
  </si>
  <si>
    <r>
      <rPr>
        <sz val="9"/>
        <color rgb="FF000000"/>
        <rFont val="맑은 고딕"/>
        <family val="3"/>
        <charset val="129"/>
      </rPr>
      <t>기타</t>
    </r>
  </si>
  <si>
    <t>완료일</t>
  </si>
  <si>
    <t>모듈D</t>
  </si>
  <si>
    <t>김디비</t>
  </si>
  <si>
    <t>모듈C</t>
  </si>
  <si>
    <t>2</t>
  </si>
  <si>
    <r>
      <rPr>
        <sz val="9"/>
        <color rgb="FF000000"/>
        <rFont val="맑은 고딕"/>
        <family val="3"/>
        <charset val="129"/>
      </rPr>
      <t>워드</t>
    </r>
  </si>
  <si>
    <t>1.2</t>
  </si>
  <si>
    <t>1.3</t>
  </si>
  <si>
    <t>시작일</t>
  </si>
  <si>
    <t>1</t>
  </si>
  <si>
    <t>이길동</t>
  </si>
  <si>
    <t>워드</t>
  </si>
  <si>
    <t>2.2</t>
  </si>
  <si>
    <t>2.3</t>
  </si>
  <si>
    <t>박길동</t>
  </si>
  <si>
    <t>txt</t>
  </si>
  <si>
    <t>엑셀</t>
  </si>
  <si>
    <t>진척율</t>
  </si>
  <si>
    <t>Project Progress - When not managing schedule changes</t>
  </si>
  <si>
    <t>The following files have been successfully imported.</t>
  </si>
  <si>
    <r>
      <rPr>
        <sz val="9"/>
        <color rgb="FF000000"/>
        <rFont val="맑은 고딕"/>
        <family val="3"/>
        <charset val="129"/>
      </rPr>
      <t>실적진척율에</t>
    </r>
    <r>
      <rPr>
        <sz val="9"/>
        <color rgb="FF000000"/>
        <rFont val="Calibri"/>
        <family val="2"/>
      </rPr>
      <t xml:space="preserve"> </t>
    </r>
    <r>
      <rPr>
        <sz val="9"/>
        <color rgb="FF000000"/>
        <rFont val="맑은 고딕"/>
        <family val="3"/>
        <charset val="129"/>
      </rPr>
      <t>숫자가</t>
    </r>
    <r>
      <rPr>
        <sz val="9"/>
        <color rgb="FF000000"/>
        <rFont val="Calibri"/>
        <family val="2"/>
      </rPr>
      <t xml:space="preserve"> </t>
    </r>
    <r>
      <rPr>
        <sz val="9"/>
        <color rgb="FF000000"/>
        <rFont val="맑은 고딕"/>
        <family val="3"/>
        <charset val="129"/>
      </rPr>
      <t>아닌</t>
    </r>
    <r>
      <rPr>
        <sz val="9"/>
        <color rgb="FF000000"/>
        <rFont val="Calibri"/>
        <family val="2"/>
      </rPr>
      <t xml:space="preserve"> </t>
    </r>
    <r>
      <rPr>
        <sz val="9"/>
        <color rgb="FF000000"/>
        <rFont val="맑은 고딕"/>
        <family val="3"/>
        <charset val="129"/>
      </rPr>
      <t>값이</t>
    </r>
    <r>
      <rPr>
        <sz val="9"/>
        <color rgb="FF000000"/>
        <rFont val="Calibri"/>
        <family val="2"/>
      </rPr>
      <t xml:space="preserve"> </t>
    </r>
    <r>
      <rPr>
        <sz val="9"/>
        <color rgb="FF000000"/>
        <rFont val="맑은 고딕"/>
        <family val="3"/>
        <charset val="129"/>
      </rPr>
      <t>포함되어</t>
    </r>
    <r>
      <rPr>
        <sz val="9"/>
        <color rgb="FF000000"/>
        <rFont val="Calibri"/>
        <family val="2"/>
      </rPr>
      <t xml:space="preserve"> </t>
    </r>
    <r>
      <rPr>
        <sz val="9"/>
        <color rgb="FF000000"/>
        <rFont val="맑은 고딕"/>
        <family val="3"/>
        <charset val="129"/>
      </rPr>
      <t>있습니다</t>
    </r>
    <r>
      <rPr>
        <sz val="9"/>
        <color rgb="FF000000"/>
        <rFont val="Calibri"/>
        <family val="2"/>
      </rPr>
      <t>. Import</t>
    </r>
    <r>
      <rPr>
        <sz val="9"/>
        <color rgb="FF000000"/>
        <rFont val="맑은 고딕"/>
        <family val="3"/>
        <charset val="129"/>
      </rPr>
      <t>하는</t>
    </r>
    <r>
      <rPr>
        <sz val="9"/>
        <color rgb="FF000000"/>
        <rFont val="Calibri"/>
        <family val="2"/>
      </rPr>
      <t xml:space="preserve"> </t>
    </r>
    <r>
      <rPr>
        <sz val="9"/>
        <color rgb="FF000000"/>
        <rFont val="맑은 고딕"/>
        <family val="3"/>
        <charset val="129"/>
      </rPr>
      <t>파일의</t>
    </r>
    <r>
      <rPr>
        <sz val="9"/>
        <color rgb="FF000000"/>
        <rFont val="Calibri"/>
        <family val="2"/>
      </rPr>
      <t xml:space="preserve"> {}</t>
    </r>
    <r>
      <rPr>
        <sz val="9"/>
        <color rgb="FF000000"/>
        <rFont val="맑은 고딕"/>
        <family val="3"/>
        <charset val="129"/>
      </rPr>
      <t>행을</t>
    </r>
    <r>
      <rPr>
        <sz val="9"/>
        <color rgb="FF000000"/>
        <rFont val="Calibri"/>
        <family val="2"/>
      </rPr>
      <t xml:space="preserve"> </t>
    </r>
    <r>
      <rPr>
        <sz val="9"/>
        <color rgb="FF000000"/>
        <rFont val="맑은 고딕"/>
        <family val="3"/>
        <charset val="129"/>
      </rPr>
      <t>확인하세요</t>
    </r>
    <r>
      <rPr>
        <sz val="9"/>
        <color rgb="FF000000"/>
        <rFont val="Calibri"/>
        <family val="2"/>
      </rPr>
      <t>.</t>
    </r>
  </si>
  <si>
    <r>
      <rPr>
        <sz val="9"/>
        <color rgb="FF000000"/>
        <rFont val="맑은 고딕"/>
        <family val="3"/>
        <charset val="129"/>
      </rPr>
      <t>다음</t>
    </r>
    <r>
      <rPr>
        <sz val="9"/>
        <color rgb="FF000000"/>
        <rFont val="Calibri"/>
        <family val="2"/>
      </rPr>
      <t xml:space="preserve"> </t>
    </r>
    <r>
      <rPr>
        <sz val="9"/>
        <color rgb="FF000000"/>
        <rFont val="맑은 고딕"/>
        <family val="3"/>
        <charset val="129"/>
      </rPr>
      <t>작업은</t>
    </r>
    <r>
      <rPr>
        <sz val="9"/>
        <color rgb="FF000000"/>
        <rFont val="Calibri"/>
        <family val="2"/>
      </rPr>
      <t xml:space="preserve"> </t>
    </r>
    <r>
      <rPr>
        <sz val="9"/>
        <color rgb="FF000000"/>
        <rFont val="맑은 고딕"/>
        <family val="3"/>
        <charset val="129"/>
      </rPr>
      <t>이미</t>
    </r>
    <r>
      <rPr>
        <sz val="9"/>
        <color rgb="FF000000"/>
        <rFont val="Calibri"/>
        <family val="2"/>
      </rPr>
      <t xml:space="preserve"> </t>
    </r>
    <r>
      <rPr>
        <sz val="9"/>
        <color rgb="FF000000"/>
        <rFont val="맑은 고딕"/>
        <family val="3"/>
        <charset val="129"/>
      </rPr>
      <t>등록되어</t>
    </r>
    <r>
      <rPr>
        <sz val="9"/>
        <color rgb="FF000000"/>
        <rFont val="Calibri"/>
        <family val="2"/>
      </rPr>
      <t xml:space="preserve"> </t>
    </r>
    <r>
      <rPr>
        <sz val="9"/>
        <color rgb="FF000000"/>
        <rFont val="맑은 고딕"/>
        <family val="3"/>
        <charset val="129"/>
      </rPr>
      <t>있으므로</t>
    </r>
    <r>
      <rPr>
        <sz val="9"/>
        <color rgb="FF000000"/>
        <rFont val="Calibri"/>
        <family val="2"/>
      </rPr>
      <t xml:space="preserve"> </t>
    </r>
    <r>
      <rPr>
        <sz val="9"/>
        <color rgb="FF000000"/>
        <rFont val="맑은 고딕"/>
        <family val="3"/>
        <charset val="129"/>
      </rPr>
      <t>등록하지</t>
    </r>
    <r>
      <rPr>
        <sz val="9"/>
        <color rgb="FF000000"/>
        <rFont val="Calibri"/>
        <family val="2"/>
      </rPr>
      <t xml:space="preserve"> </t>
    </r>
    <r>
      <rPr>
        <sz val="9"/>
        <color rgb="FF000000"/>
        <rFont val="맑은 고딕"/>
        <family val="3"/>
        <charset val="129"/>
      </rPr>
      <t>않습니다</t>
    </r>
    <r>
      <rPr>
        <sz val="9"/>
        <color rgb="FF000000"/>
        <rFont val="Calibri"/>
        <family val="2"/>
      </rPr>
      <t>.\n\n</t>
    </r>
    <r>
      <rPr>
        <sz val="9"/>
        <color rgb="FF000000"/>
        <rFont val="맑은 고딕"/>
        <family val="3"/>
        <charset val="129"/>
      </rPr>
      <t>작업명</t>
    </r>
    <r>
      <rPr>
        <sz val="9"/>
        <color rgb="FF000000"/>
        <rFont val="Calibri"/>
        <family val="2"/>
      </rPr>
      <t xml:space="preserve"> : {1} \n</t>
    </r>
    <r>
      <rPr>
        <sz val="9"/>
        <color rgb="FF000000"/>
        <rFont val="맑은 고딕"/>
        <family val="3"/>
        <charset val="129"/>
      </rPr>
      <t>시작일</t>
    </r>
    <r>
      <rPr>
        <sz val="9"/>
        <color rgb="FF000000"/>
        <rFont val="Calibri"/>
        <family val="2"/>
      </rPr>
      <t xml:space="preserve"> : {2}</t>
    </r>
  </si>
  <si>
    <r>
      <rPr>
        <sz val="9"/>
        <color rgb="FF000000"/>
        <rFont val="맑은 고딕"/>
        <family val="3"/>
        <charset val="129"/>
      </rPr>
      <t>이</t>
    </r>
    <r>
      <rPr>
        <sz val="9"/>
        <color rgb="FF000000"/>
        <rFont val="Calibri"/>
        <family val="2"/>
      </rPr>
      <t xml:space="preserve"> XLGantt</t>
    </r>
    <r>
      <rPr>
        <sz val="9"/>
        <color rgb="FF000000"/>
        <rFont val="맑은 고딕"/>
        <family val="3"/>
        <charset val="129"/>
      </rPr>
      <t>파일에</t>
    </r>
    <r>
      <rPr>
        <sz val="9"/>
        <color rgb="FF000000"/>
        <rFont val="Calibri"/>
        <family val="2"/>
      </rPr>
      <t xml:space="preserve"> </t>
    </r>
    <r>
      <rPr>
        <sz val="9"/>
        <color rgb="FF000000"/>
        <rFont val="맑은 고딕"/>
        <family val="3"/>
        <charset val="129"/>
      </rPr>
      <t>있는</t>
    </r>
    <r>
      <rPr>
        <sz val="9"/>
        <color rgb="FF000000"/>
        <rFont val="Calibri"/>
        <family val="2"/>
      </rPr>
      <t xml:space="preserve"> Data</t>
    </r>
    <r>
      <rPr>
        <sz val="9"/>
        <color rgb="FF000000"/>
        <rFont val="맑은 고딕"/>
        <family val="3"/>
        <charset val="129"/>
      </rPr>
      <t>를</t>
    </r>
    <r>
      <rPr>
        <sz val="9"/>
        <color rgb="FF000000"/>
        <rFont val="Calibri"/>
        <family val="2"/>
      </rPr>
      <t xml:space="preserve"> </t>
    </r>
    <r>
      <rPr>
        <sz val="9"/>
        <color rgb="FF000000"/>
        <rFont val="맑은 고딕"/>
        <family val="3"/>
        <charset val="129"/>
      </rPr>
      <t>그대로</t>
    </r>
    <r>
      <rPr>
        <sz val="9"/>
        <color rgb="FF000000"/>
        <rFont val="Calibri"/>
        <family val="2"/>
      </rPr>
      <t xml:space="preserve"> </t>
    </r>
    <r>
      <rPr>
        <sz val="9"/>
        <color rgb="FF000000"/>
        <rFont val="맑은 고딕"/>
        <family val="3"/>
        <charset val="129"/>
      </rPr>
      <t>두고</t>
    </r>
    <r>
      <rPr>
        <sz val="9"/>
        <color rgb="FF000000"/>
        <rFont val="Calibri"/>
        <family val="2"/>
      </rPr>
      <t xml:space="preserve"> </t>
    </r>
    <r>
      <rPr>
        <sz val="9"/>
        <color rgb="FF000000"/>
        <rFont val="맑은 고딕"/>
        <family val="3"/>
        <charset val="129"/>
      </rPr>
      <t>맨</t>
    </r>
    <r>
      <rPr>
        <sz val="9"/>
        <color rgb="FF000000"/>
        <rFont val="Calibri"/>
        <family val="2"/>
      </rPr>
      <t xml:space="preserve"> </t>
    </r>
    <r>
      <rPr>
        <sz val="9"/>
        <color rgb="FF000000"/>
        <rFont val="맑은 고딕"/>
        <family val="3"/>
        <charset val="129"/>
      </rPr>
      <t>아래에</t>
    </r>
    <r>
      <rPr>
        <sz val="9"/>
        <color rgb="FF000000"/>
        <rFont val="Calibri"/>
        <family val="2"/>
      </rPr>
      <t xml:space="preserve"> </t>
    </r>
    <r>
      <rPr>
        <sz val="9"/>
        <color rgb="FF000000"/>
        <rFont val="맑은 고딕"/>
        <family val="3"/>
        <charset val="129"/>
      </rPr>
      <t>새로운</t>
    </r>
    <r>
      <rPr>
        <sz val="9"/>
        <color rgb="FF000000"/>
        <rFont val="Calibri"/>
        <family val="2"/>
      </rPr>
      <t xml:space="preserve"> Data</t>
    </r>
    <r>
      <rPr>
        <sz val="9"/>
        <color rgb="FF000000"/>
        <rFont val="맑은 고딕"/>
        <family val="3"/>
        <charset val="129"/>
      </rPr>
      <t>를</t>
    </r>
    <r>
      <rPr>
        <sz val="9"/>
        <color rgb="FF000000"/>
        <rFont val="Calibri"/>
        <family val="2"/>
      </rPr>
      <t xml:space="preserve"> </t>
    </r>
    <r>
      <rPr>
        <sz val="9"/>
        <color rgb="FF000000"/>
        <rFont val="맑은 고딕"/>
        <family val="3"/>
        <charset val="129"/>
      </rPr>
      <t>가져와서</t>
    </r>
    <r>
      <rPr>
        <sz val="9"/>
        <color rgb="FF000000"/>
        <rFont val="Calibri"/>
        <family val="2"/>
      </rPr>
      <t xml:space="preserve"> </t>
    </r>
    <r>
      <rPr>
        <sz val="9"/>
        <color rgb="FF000000"/>
        <rFont val="맑은 고딕"/>
        <family val="3"/>
        <charset val="129"/>
      </rPr>
      <t>붙여</t>
    </r>
    <r>
      <rPr>
        <sz val="9"/>
        <color rgb="FF000000"/>
        <rFont val="Calibri"/>
        <family val="2"/>
      </rPr>
      <t xml:space="preserve"> </t>
    </r>
    <r>
      <rPr>
        <sz val="9"/>
        <color rgb="FF000000"/>
        <rFont val="맑은 고딕"/>
        <family val="3"/>
        <charset val="129"/>
      </rPr>
      <t>넣기</t>
    </r>
  </si>
  <si>
    <t>Display font color to the gray for the completed tasks</t>
  </si>
  <si>
    <t>Check if you save deliverables in specific directory</t>
  </si>
  <si>
    <r>
      <rPr>
        <sz val="9"/>
        <color rgb="FF000000"/>
        <rFont val="맑은 고딕"/>
        <family val="3"/>
        <charset val="129"/>
      </rPr>
      <t>오류</t>
    </r>
    <r>
      <rPr>
        <sz val="9"/>
        <color rgb="FF000000"/>
        <rFont val="Calibri"/>
        <family val="2"/>
      </rPr>
      <t xml:space="preserve">! </t>
    </r>
    <r>
      <rPr>
        <sz val="9"/>
        <color rgb="FF000000"/>
        <rFont val="맑은 고딕"/>
        <family val="3"/>
        <charset val="129"/>
      </rPr>
      <t>계산된</t>
    </r>
    <r>
      <rPr>
        <sz val="9"/>
        <color rgb="FF000000"/>
        <rFont val="Calibri"/>
        <family val="2"/>
      </rPr>
      <t xml:space="preserve"> Total Man-Day</t>
    </r>
    <r>
      <rPr>
        <sz val="9"/>
        <color rgb="FF000000"/>
        <rFont val="맑은 고딕"/>
        <family val="3"/>
        <charset val="129"/>
      </rPr>
      <t>가</t>
    </r>
    <r>
      <rPr>
        <sz val="9"/>
        <color rgb="FF000000"/>
        <rFont val="Calibri"/>
        <family val="2"/>
      </rPr>
      <t xml:space="preserve"> {} sheet</t>
    </r>
    <r>
      <rPr>
        <sz val="9"/>
        <color rgb="FF000000"/>
        <rFont val="맑은 고딕"/>
        <family val="3"/>
        <charset val="129"/>
      </rPr>
      <t>의</t>
    </r>
    <r>
      <rPr>
        <sz val="9"/>
        <color rgb="FF000000"/>
        <rFont val="Calibri"/>
        <family val="2"/>
      </rPr>
      <t xml:space="preserve"> Total Man-Day</t>
    </r>
    <r>
      <rPr>
        <sz val="9"/>
        <color rgb="FF000000"/>
        <rFont val="맑은 고딕"/>
        <family val="3"/>
        <charset val="129"/>
      </rPr>
      <t>와</t>
    </r>
    <r>
      <rPr>
        <sz val="9"/>
        <color rgb="FF000000"/>
        <rFont val="Calibri"/>
        <family val="2"/>
      </rPr>
      <t xml:space="preserve"> </t>
    </r>
    <r>
      <rPr>
        <sz val="9"/>
        <color rgb="FF000000"/>
        <rFont val="맑은 고딕"/>
        <family val="3"/>
        <charset val="129"/>
      </rPr>
      <t>다릅니다</t>
    </r>
    <r>
      <rPr>
        <sz val="9"/>
        <color rgb="FF000000"/>
        <rFont val="Calibri"/>
        <family val="2"/>
      </rPr>
      <t>.</t>
    </r>
  </si>
  <si>
    <t>The number of Level must be less than or equal to {}</t>
  </si>
  <si>
    <t>Would you like to update the schedule before saving?</t>
  </si>
  <si>
    <r>
      <rPr>
        <sz val="9"/>
        <color rgb="FF000000"/>
        <rFont val="맑은 고딕"/>
        <family val="3"/>
        <charset val="129"/>
      </rPr>
      <t>다음</t>
    </r>
    <r>
      <rPr>
        <sz val="9"/>
        <color rgb="FF000000"/>
        <rFont val="Calibri"/>
        <family val="2"/>
      </rPr>
      <t xml:space="preserve"> </t>
    </r>
    <r>
      <rPr>
        <sz val="9"/>
        <color rgb="FF000000"/>
        <rFont val="맑은 고딕"/>
        <family val="3"/>
        <charset val="129"/>
      </rPr>
      <t>작업은</t>
    </r>
    <r>
      <rPr>
        <sz val="9"/>
        <color rgb="FF000000"/>
        <rFont val="Calibri"/>
        <family val="2"/>
      </rPr>
      <t xml:space="preserve"> </t>
    </r>
    <r>
      <rPr>
        <sz val="9"/>
        <color rgb="FF000000"/>
        <rFont val="맑은 고딕"/>
        <family val="3"/>
        <charset val="129"/>
      </rPr>
      <t>이미</t>
    </r>
    <r>
      <rPr>
        <sz val="9"/>
        <color rgb="FF000000"/>
        <rFont val="Calibri"/>
        <family val="2"/>
      </rPr>
      <t xml:space="preserve"> </t>
    </r>
    <r>
      <rPr>
        <sz val="9"/>
        <color rgb="FF000000"/>
        <rFont val="맑은 고딕"/>
        <family val="3"/>
        <charset val="129"/>
      </rPr>
      <t>등록되어</t>
    </r>
    <r>
      <rPr>
        <sz val="9"/>
        <color rgb="FF000000"/>
        <rFont val="Calibri"/>
        <family val="2"/>
      </rPr>
      <t xml:space="preserve"> </t>
    </r>
    <r>
      <rPr>
        <sz val="9"/>
        <color rgb="FF000000"/>
        <rFont val="맑은 고딕"/>
        <family val="3"/>
        <charset val="129"/>
      </rPr>
      <t>있으므로</t>
    </r>
    <r>
      <rPr>
        <sz val="9"/>
        <color rgb="FF000000"/>
        <rFont val="Calibri"/>
        <family val="2"/>
      </rPr>
      <t xml:space="preserve"> </t>
    </r>
    <r>
      <rPr>
        <sz val="9"/>
        <color rgb="FF000000"/>
        <rFont val="맑은 고딕"/>
        <family val="3"/>
        <charset val="129"/>
      </rPr>
      <t>등록하지</t>
    </r>
    <r>
      <rPr>
        <sz val="9"/>
        <color rgb="FF000000"/>
        <rFont val="Calibri"/>
        <family val="2"/>
      </rPr>
      <t xml:space="preserve"> </t>
    </r>
    <r>
      <rPr>
        <sz val="9"/>
        <color rgb="FF000000"/>
        <rFont val="맑은 고딕"/>
        <family val="3"/>
        <charset val="129"/>
      </rPr>
      <t>않습니다</t>
    </r>
    <r>
      <rPr>
        <sz val="9"/>
        <color rgb="FF000000"/>
        <rFont val="Calibri"/>
        <family val="2"/>
      </rPr>
      <t>.\n\n</t>
    </r>
    <r>
      <rPr>
        <sz val="9"/>
        <color rgb="FF000000"/>
        <rFont val="맑은 고딕"/>
        <family val="3"/>
        <charset val="129"/>
      </rPr>
      <t>작업명</t>
    </r>
    <r>
      <rPr>
        <sz val="9"/>
        <color rgb="FF000000"/>
        <rFont val="Calibri"/>
        <family val="2"/>
      </rPr>
      <t xml:space="preserve"> : {1} \n</t>
    </r>
    <r>
      <rPr>
        <sz val="9"/>
        <color rgb="FF000000"/>
        <rFont val="맑은 고딕"/>
        <family val="3"/>
        <charset val="129"/>
      </rPr>
      <t>기한</t>
    </r>
    <r>
      <rPr>
        <sz val="9"/>
        <color rgb="FF000000"/>
        <rFont val="Calibri"/>
        <family val="2"/>
      </rPr>
      <t xml:space="preserve"> : {2}</t>
    </r>
  </si>
  <si>
    <r>
      <rPr>
        <sz val="9"/>
        <color rgb="FF000000"/>
        <rFont val="맑은 고딕"/>
        <family val="3"/>
        <charset val="129"/>
      </rPr>
      <t>실제완료일자에</t>
    </r>
    <r>
      <rPr>
        <sz val="9"/>
        <color rgb="FF000000"/>
        <rFont val="Calibri"/>
        <family val="2"/>
      </rPr>
      <t xml:space="preserve"> </t>
    </r>
    <r>
      <rPr>
        <sz val="9"/>
        <color rgb="FF000000"/>
        <rFont val="맑은 고딕"/>
        <family val="3"/>
        <charset val="129"/>
      </rPr>
      <t>날짜가</t>
    </r>
    <r>
      <rPr>
        <sz val="9"/>
        <color rgb="FF000000"/>
        <rFont val="Calibri"/>
        <family val="2"/>
      </rPr>
      <t xml:space="preserve"> </t>
    </r>
    <r>
      <rPr>
        <sz val="9"/>
        <color rgb="FF000000"/>
        <rFont val="맑은 고딕"/>
        <family val="3"/>
        <charset val="129"/>
      </rPr>
      <t>아닌</t>
    </r>
    <r>
      <rPr>
        <sz val="9"/>
        <color rgb="FF000000"/>
        <rFont val="Calibri"/>
        <family val="2"/>
      </rPr>
      <t xml:space="preserve"> </t>
    </r>
    <r>
      <rPr>
        <sz val="9"/>
        <color rgb="FF000000"/>
        <rFont val="맑은 고딕"/>
        <family val="3"/>
        <charset val="129"/>
      </rPr>
      <t>값이</t>
    </r>
    <r>
      <rPr>
        <sz val="9"/>
        <color rgb="FF000000"/>
        <rFont val="Calibri"/>
        <family val="2"/>
      </rPr>
      <t xml:space="preserve"> </t>
    </r>
    <r>
      <rPr>
        <sz val="9"/>
        <color rgb="FF000000"/>
        <rFont val="맑은 고딕"/>
        <family val="3"/>
        <charset val="129"/>
      </rPr>
      <t>포함되어</t>
    </r>
    <r>
      <rPr>
        <sz val="9"/>
        <color rgb="FF000000"/>
        <rFont val="Calibri"/>
        <family val="2"/>
      </rPr>
      <t xml:space="preserve"> </t>
    </r>
    <r>
      <rPr>
        <sz val="9"/>
        <color rgb="FF000000"/>
        <rFont val="맑은 고딕"/>
        <family val="3"/>
        <charset val="129"/>
      </rPr>
      <t>있습니다</t>
    </r>
    <r>
      <rPr>
        <sz val="9"/>
        <color rgb="FF000000"/>
        <rFont val="Calibri"/>
        <family val="2"/>
      </rPr>
      <t>. Import</t>
    </r>
    <r>
      <rPr>
        <sz val="9"/>
        <color rgb="FF000000"/>
        <rFont val="맑은 고딕"/>
        <family val="3"/>
        <charset val="129"/>
      </rPr>
      <t>하는</t>
    </r>
    <r>
      <rPr>
        <sz val="9"/>
        <color rgb="FF000000"/>
        <rFont val="Calibri"/>
        <family val="2"/>
      </rPr>
      <t xml:space="preserve"> </t>
    </r>
    <r>
      <rPr>
        <sz val="9"/>
        <color rgb="FF000000"/>
        <rFont val="맑은 고딕"/>
        <family val="3"/>
        <charset val="129"/>
      </rPr>
      <t>파일의</t>
    </r>
    <r>
      <rPr>
        <sz val="9"/>
        <color rgb="FF000000"/>
        <rFont val="Calibri"/>
        <family val="2"/>
      </rPr>
      <t xml:space="preserve"> {}</t>
    </r>
    <r>
      <rPr>
        <sz val="9"/>
        <color rgb="FF000000"/>
        <rFont val="맑은 고딕"/>
        <family val="3"/>
        <charset val="129"/>
      </rPr>
      <t>행을</t>
    </r>
    <r>
      <rPr>
        <sz val="9"/>
        <color rgb="FF000000"/>
        <rFont val="Calibri"/>
        <family val="2"/>
      </rPr>
      <t xml:space="preserve"> </t>
    </r>
    <r>
      <rPr>
        <sz val="9"/>
        <color rgb="FF000000"/>
        <rFont val="맑은 고딕"/>
        <family val="3"/>
        <charset val="129"/>
      </rPr>
      <t>확인하세요</t>
    </r>
    <r>
      <rPr>
        <sz val="9"/>
        <color rgb="FF000000"/>
        <rFont val="Calibri"/>
        <family val="2"/>
      </rPr>
      <t>.</t>
    </r>
  </si>
  <si>
    <t>Task area was not selected. Please select a task area.</t>
  </si>
  <si>
    <t>Finish date field of a task. It must be in date format.</t>
  </si>
  <si>
    <t>Display interior color to the gray for the task groups</t>
  </si>
  <si>
    <t>You can not add "Outlook Tasks" in the selected area.</t>
  </si>
  <si>
    <t>Start date field of a task. It must be in date format.</t>
  </si>
  <si>
    <t>The "Task" column has been deleted. Please retry after changing the sheet to its previous state.</t>
  </si>
  <si>
    <t>If you choose "Assigning path by task name automatically" option, you need to set the upper path.</t>
  </si>
  <si>
    <t>If the language in source file and the language in target file are different, you can not import.</t>
  </si>
  <si>
    <t>Calculation Base Date of Planned %Work Complete must be less than or equal to project finish date.</t>
  </si>
  <si>
    <t>The "Weight" column has been deleted. Please retry after changing the sheet to its previous state.</t>
  </si>
  <si>
    <t>The "Note" column has been deleted. Please retry after changing the sheet to its previous state.</t>
  </si>
  <si>
    <r>
      <t>WBS Level(</t>
    </r>
    <r>
      <rPr>
        <sz val="9"/>
        <color rgb="FF000000"/>
        <rFont val="맑은 고딕"/>
        <family val="3"/>
        <charset val="129"/>
      </rPr>
      <t>개요번호</t>
    </r>
    <r>
      <rPr>
        <sz val="9"/>
        <color rgb="FF000000"/>
        <rFont val="Calibri"/>
        <family val="2"/>
      </rPr>
      <t>)</t>
    </r>
    <r>
      <rPr>
        <sz val="9"/>
        <color rgb="FF000000"/>
        <rFont val="맑은 고딕"/>
        <family val="3"/>
        <charset val="129"/>
      </rPr>
      <t>에</t>
    </r>
    <r>
      <rPr>
        <sz val="9"/>
        <color rgb="FF000000"/>
        <rFont val="Calibri"/>
        <family val="2"/>
      </rPr>
      <t xml:space="preserve"> </t>
    </r>
    <r>
      <rPr>
        <sz val="9"/>
        <color rgb="FF000000"/>
        <rFont val="맑은 고딕"/>
        <family val="3"/>
        <charset val="129"/>
      </rPr>
      <t>숫자가</t>
    </r>
    <r>
      <rPr>
        <sz val="9"/>
        <color rgb="FF000000"/>
        <rFont val="Calibri"/>
        <family val="2"/>
      </rPr>
      <t xml:space="preserve"> </t>
    </r>
    <r>
      <rPr>
        <sz val="9"/>
        <color rgb="FF000000"/>
        <rFont val="맑은 고딕"/>
        <family val="3"/>
        <charset val="129"/>
      </rPr>
      <t>아닌</t>
    </r>
    <r>
      <rPr>
        <sz val="9"/>
        <color rgb="FF000000"/>
        <rFont val="Calibri"/>
        <family val="2"/>
      </rPr>
      <t xml:space="preserve"> </t>
    </r>
    <r>
      <rPr>
        <sz val="9"/>
        <color rgb="FF000000"/>
        <rFont val="맑은 고딕"/>
        <family val="3"/>
        <charset val="129"/>
      </rPr>
      <t>값이</t>
    </r>
    <r>
      <rPr>
        <sz val="9"/>
        <color rgb="FF000000"/>
        <rFont val="Calibri"/>
        <family val="2"/>
      </rPr>
      <t xml:space="preserve"> </t>
    </r>
    <r>
      <rPr>
        <sz val="9"/>
        <color rgb="FF000000"/>
        <rFont val="맑은 고딕"/>
        <family val="3"/>
        <charset val="129"/>
      </rPr>
      <t>포함되어</t>
    </r>
    <r>
      <rPr>
        <sz val="9"/>
        <color rgb="FF000000"/>
        <rFont val="Calibri"/>
        <family val="2"/>
      </rPr>
      <t xml:space="preserve"> </t>
    </r>
    <r>
      <rPr>
        <sz val="9"/>
        <color rgb="FF000000"/>
        <rFont val="맑은 고딕"/>
        <family val="3"/>
        <charset val="129"/>
      </rPr>
      <t>있습니다</t>
    </r>
    <r>
      <rPr>
        <sz val="9"/>
        <color rgb="FF000000"/>
        <rFont val="Calibri"/>
        <family val="2"/>
      </rPr>
      <t>. Import</t>
    </r>
    <r>
      <rPr>
        <sz val="9"/>
        <color rgb="FF000000"/>
        <rFont val="맑은 고딕"/>
        <family val="3"/>
        <charset val="129"/>
      </rPr>
      <t>하는</t>
    </r>
    <r>
      <rPr>
        <sz val="9"/>
        <color rgb="FF000000"/>
        <rFont val="Calibri"/>
        <family val="2"/>
      </rPr>
      <t xml:space="preserve"> </t>
    </r>
    <r>
      <rPr>
        <sz val="9"/>
        <color rgb="FF000000"/>
        <rFont val="맑은 고딕"/>
        <family val="3"/>
        <charset val="129"/>
      </rPr>
      <t>파일의</t>
    </r>
    <r>
      <rPr>
        <sz val="9"/>
        <color rgb="FF000000"/>
        <rFont val="Calibri"/>
        <family val="2"/>
      </rPr>
      <t xml:space="preserve"> {}</t>
    </r>
    <r>
      <rPr>
        <sz val="9"/>
        <color rgb="FF000000"/>
        <rFont val="맑은 고딕"/>
        <family val="3"/>
        <charset val="129"/>
      </rPr>
      <t>행을</t>
    </r>
    <r>
      <rPr>
        <sz val="9"/>
        <color rgb="FF000000"/>
        <rFont val="Calibri"/>
        <family val="2"/>
      </rPr>
      <t xml:space="preserve"> </t>
    </r>
    <r>
      <rPr>
        <sz val="9"/>
        <color rgb="FF000000"/>
        <rFont val="맑은 고딕"/>
        <family val="3"/>
        <charset val="129"/>
      </rPr>
      <t>확인하세요</t>
    </r>
    <r>
      <rPr>
        <sz val="9"/>
        <color rgb="FF000000"/>
        <rFont val="Calibri"/>
        <family val="2"/>
      </rPr>
      <t>.</t>
    </r>
  </si>
  <si>
    <t>Actual %Work Complete from the start date to the current date</t>
  </si>
  <si>
    <t>"%Work Complete" is invalid. Type a number between 0% and 100%.</t>
  </si>
  <si>
    <r>
      <rPr>
        <sz val="9"/>
        <color rgb="FF000000"/>
        <rFont val="맑은 고딕"/>
        <family val="3"/>
        <charset val="129"/>
      </rPr>
      <t>가져오는</t>
    </r>
    <r>
      <rPr>
        <sz val="9"/>
        <color rgb="FF000000"/>
        <rFont val="Calibri"/>
        <family val="2"/>
      </rPr>
      <t xml:space="preserve"> </t>
    </r>
    <r>
      <rPr>
        <sz val="9"/>
        <color rgb="FF000000"/>
        <rFont val="맑은 고딕"/>
        <family val="3"/>
        <charset val="129"/>
      </rPr>
      <t>파일</t>
    </r>
    <r>
      <rPr>
        <sz val="9"/>
        <color rgb="FF000000"/>
        <rFont val="Calibri"/>
        <family val="2"/>
      </rPr>
      <t>(</t>
    </r>
    <r>
      <rPr>
        <sz val="9"/>
        <color rgb="FF000000"/>
        <rFont val="맑은 고딕"/>
        <family val="3"/>
        <charset val="129"/>
      </rPr>
      <t>소스파일</t>
    </r>
    <r>
      <rPr>
        <sz val="9"/>
        <color rgb="FF000000"/>
        <rFont val="Calibri"/>
        <family val="2"/>
      </rPr>
      <t>)</t>
    </r>
    <r>
      <rPr>
        <sz val="9"/>
        <color rgb="FF000000"/>
        <rFont val="맑은 고딕"/>
        <family val="3"/>
        <charset val="129"/>
      </rPr>
      <t>에</t>
    </r>
    <r>
      <rPr>
        <sz val="9"/>
        <color rgb="FF000000"/>
        <rFont val="Calibri"/>
        <family val="2"/>
      </rPr>
      <t xml:space="preserve"> </t>
    </r>
    <r>
      <rPr>
        <sz val="9"/>
        <color rgb="FF000000"/>
        <rFont val="맑은 고딕"/>
        <family val="3"/>
        <charset val="129"/>
      </rPr>
      <t>설정된</t>
    </r>
    <r>
      <rPr>
        <sz val="9"/>
        <color rgb="FF000000"/>
        <rFont val="Calibri"/>
        <family val="2"/>
      </rPr>
      <t xml:space="preserve"> </t>
    </r>
    <r>
      <rPr>
        <sz val="9"/>
        <color rgb="FF000000"/>
        <rFont val="맑은 고딕"/>
        <family val="3"/>
        <charset val="129"/>
      </rPr>
      <t>언어와</t>
    </r>
    <r>
      <rPr>
        <sz val="9"/>
        <color rgb="FF000000"/>
        <rFont val="Calibri"/>
        <family val="2"/>
      </rPr>
      <t xml:space="preserve"> </t>
    </r>
    <r>
      <rPr>
        <sz val="9"/>
        <color rgb="FF000000"/>
        <rFont val="맑은 고딕"/>
        <family val="3"/>
        <charset val="129"/>
      </rPr>
      <t>이</t>
    </r>
    <r>
      <rPr>
        <sz val="9"/>
        <color rgb="FF000000"/>
        <rFont val="Calibri"/>
        <family val="2"/>
      </rPr>
      <t xml:space="preserve"> </t>
    </r>
    <r>
      <rPr>
        <sz val="9"/>
        <color rgb="FF000000"/>
        <rFont val="맑은 고딕"/>
        <family val="3"/>
        <charset val="129"/>
      </rPr>
      <t>파일</t>
    </r>
    <r>
      <rPr>
        <sz val="9"/>
        <color rgb="FF000000"/>
        <rFont val="Calibri"/>
        <family val="2"/>
      </rPr>
      <t>(</t>
    </r>
    <r>
      <rPr>
        <sz val="9"/>
        <color rgb="FF000000"/>
        <rFont val="맑은 고딕"/>
        <family val="3"/>
        <charset val="129"/>
      </rPr>
      <t>타겟파일</t>
    </r>
    <r>
      <rPr>
        <sz val="9"/>
        <color rgb="FF000000"/>
        <rFont val="Calibri"/>
        <family val="2"/>
      </rPr>
      <t>)</t>
    </r>
    <r>
      <rPr>
        <sz val="9"/>
        <color rgb="FF000000"/>
        <rFont val="맑은 고딕"/>
        <family val="3"/>
        <charset val="129"/>
      </rPr>
      <t>에</t>
    </r>
    <r>
      <rPr>
        <sz val="9"/>
        <color rgb="FF000000"/>
        <rFont val="Calibri"/>
        <family val="2"/>
      </rPr>
      <t xml:space="preserve"> </t>
    </r>
    <r>
      <rPr>
        <sz val="9"/>
        <color rgb="FF000000"/>
        <rFont val="맑은 고딕"/>
        <family val="3"/>
        <charset val="129"/>
      </rPr>
      <t>설정된</t>
    </r>
    <r>
      <rPr>
        <sz val="9"/>
        <color rgb="FF000000"/>
        <rFont val="Calibri"/>
        <family val="2"/>
      </rPr>
      <t xml:space="preserve"> </t>
    </r>
    <r>
      <rPr>
        <sz val="9"/>
        <color rgb="FF000000"/>
        <rFont val="맑은 고딕"/>
        <family val="3"/>
        <charset val="129"/>
      </rPr>
      <t>언어가</t>
    </r>
    <r>
      <rPr>
        <sz val="9"/>
        <color rgb="FF000000"/>
        <rFont val="Calibri"/>
        <family val="2"/>
      </rPr>
      <t xml:space="preserve"> </t>
    </r>
    <r>
      <rPr>
        <sz val="9"/>
        <color rgb="FF000000"/>
        <rFont val="맑은 고딕"/>
        <family val="3"/>
        <charset val="129"/>
      </rPr>
      <t>다르면</t>
    </r>
    <r>
      <rPr>
        <sz val="9"/>
        <color rgb="FF000000"/>
        <rFont val="Calibri"/>
        <family val="2"/>
      </rPr>
      <t xml:space="preserve"> Import</t>
    </r>
    <r>
      <rPr>
        <sz val="9"/>
        <color rgb="FF000000"/>
        <rFont val="맑은 고딕"/>
        <family val="3"/>
        <charset val="129"/>
      </rPr>
      <t>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</si>
  <si>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지금</t>
    </r>
    <r>
      <rPr>
        <sz val="9"/>
        <color rgb="FF000000"/>
        <rFont val="Calibri"/>
        <family val="2"/>
      </rPr>
      <t xml:space="preserve"> </t>
    </r>
    <r>
      <rPr>
        <sz val="9"/>
        <color rgb="FF000000"/>
        <rFont val="맑은 고딕"/>
        <family val="3"/>
        <charset val="129"/>
      </rPr>
      <t>사용하고</t>
    </r>
    <r>
      <rPr>
        <sz val="9"/>
        <color rgb="FF000000"/>
        <rFont val="Calibri"/>
        <family val="2"/>
      </rPr>
      <t xml:space="preserve"> </t>
    </r>
    <r>
      <rPr>
        <sz val="9"/>
        <color rgb="FF000000"/>
        <rFont val="맑은 고딕"/>
        <family val="3"/>
        <charset val="129"/>
      </rPr>
      <t>계신</t>
    </r>
    <r>
      <rPr>
        <sz val="9"/>
        <color rgb="FF000000"/>
        <rFont val="Calibri"/>
        <family val="2"/>
      </rPr>
      <t xml:space="preserve"> XLGantt</t>
    </r>
    <r>
      <rPr>
        <sz val="9"/>
        <color rgb="FF000000"/>
        <rFont val="맑은 고딕"/>
        <family val="3"/>
        <charset val="129"/>
      </rPr>
      <t>는</t>
    </r>
    <r>
      <rPr>
        <sz val="9"/>
        <color rgb="FF000000"/>
        <rFont val="Calibri"/>
        <family val="2"/>
      </rPr>
      <t xml:space="preserve"> </t>
    </r>
    <r>
      <rPr>
        <sz val="9"/>
        <color rgb="FF000000"/>
        <rFont val="맑은 고딕"/>
        <family val="3"/>
        <charset val="129"/>
      </rPr>
      <t>최신버전이</t>
    </r>
    <r>
      <rPr>
        <sz val="9"/>
        <color rgb="FF000000"/>
        <rFont val="Calibri"/>
        <family val="2"/>
      </rPr>
      <t xml:space="preserve"> </t>
    </r>
    <r>
      <rPr>
        <sz val="9"/>
        <color rgb="FF000000"/>
        <rFont val="맑은 고딕"/>
        <family val="3"/>
        <charset val="129"/>
      </rPr>
      <t>아닙니다</t>
    </r>
    <r>
      <rPr>
        <sz val="9"/>
        <color rgb="FF000000"/>
        <rFont val="Calibri"/>
        <family val="2"/>
      </rPr>
      <t xml:space="preserve">.\n
</t>
    </r>
    <r>
      <rPr>
        <sz val="9"/>
        <color rgb="FF000000"/>
        <rFont val="맑은 고딕"/>
        <family val="3"/>
        <charset val="129"/>
      </rPr>
      <t>최신버전을</t>
    </r>
    <r>
      <rPr>
        <sz val="9"/>
        <color rgb="FF000000"/>
        <rFont val="Calibri"/>
        <family val="2"/>
      </rPr>
      <t xml:space="preserve"> </t>
    </r>
    <r>
      <rPr>
        <sz val="9"/>
        <color rgb="FF000000"/>
        <rFont val="맑은 고딕"/>
        <family val="3"/>
        <charset val="129"/>
      </rPr>
      <t>아래의</t>
    </r>
    <r>
      <rPr>
        <sz val="9"/>
        <color rgb="FF000000"/>
        <rFont val="Calibri"/>
        <family val="2"/>
      </rPr>
      <t xml:space="preserve"> </t>
    </r>
    <r>
      <rPr>
        <sz val="9"/>
        <color rgb="FF000000"/>
        <rFont val="맑은 고딕"/>
        <family val="3"/>
        <charset val="129"/>
      </rPr>
      <t>사이트에서</t>
    </r>
    <r>
      <rPr>
        <sz val="9"/>
        <color rgb="FF000000"/>
        <rFont val="Calibri"/>
        <family val="2"/>
      </rPr>
      <t xml:space="preserve"> </t>
    </r>
    <r>
      <rPr>
        <sz val="9"/>
        <color rgb="FF000000"/>
        <rFont val="맑은 고딕"/>
        <family val="3"/>
        <charset val="129"/>
      </rPr>
      <t>다운로드</t>
    </r>
    <r>
      <rPr>
        <sz val="9"/>
        <color rgb="FF000000"/>
        <rFont val="Calibri"/>
        <family val="2"/>
      </rPr>
      <t xml:space="preserve"> </t>
    </r>
    <r>
      <rPr>
        <sz val="9"/>
        <color rgb="FF000000"/>
        <rFont val="맑은 고딕"/>
        <family val="3"/>
        <charset val="129"/>
      </rPr>
      <t>받으세요</t>
    </r>
    <r>
      <rPr>
        <sz val="9"/>
        <color rgb="FF000000"/>
        <rFont val="Calibri"/>
        <family val="2"/>
      </rPr>
      <t>.</t>
    </r>
  </si>
  <si>
    <t>Actual start date is invalid. Verify row {} of the source file.</t>
  </si>
  <si>
    <t>Actual start date field of a task. It must be in date format.</t>
  </si>
  <si>
    <t>Actual finish date field of a task. It must be in date format.</t>
  </si>
  <si>
    <t>No need to enter Saturdays and Sundays in the Calendar sheet</t>
  </si>
  <si>
    <r>
      <rPr>
        <sz val="10"/>
        <color rgb="FF000000"/>
        <rFont val="돋움"/>
        <family val="3"/>
        <charset val="129"/>
      </rPr>
      <t>저장하기</t>
    </r>
    <r>
      <rPr>
        <sz val="10"/>
        <color rgb="FF000000"/>
        <rFont val="Calibri"/>
        <family val="2"/>
      </rPr>
      <t xml:space="preserve"> </t>
    </r>
    <r>
      <rPr>
        <sz val="10"/>
        <color rgb="FF000000"/>
        <rFont val="돋움"/>
        <family val="3"/>
        <charset val="129"/>
      </rPr>
      <t>전에</t>
    </r>
    <r>
      <rPr>
        <sz val="10"/>
        <color rgb="FF000000"/>
        <rFont val="Calibri"/>
        <family val="2"/>
      </rPr>
      <t xml:space="preserve"> </t>
    </r>
    <r>
      <rPr>
        <sz val="10"/>
        <color rgb="FF000000"/>
        <rFont val="돋움"/>
        <family val="3"/>
        <charset val="129"/>
      </rPr>
      <t>스케줄을</t>
    </r>
    <r>
      <rPr>
        <sz val="10"/>
        <color rgb="FF000000"/>
        <rFont val="Calibri"/>
        <family val="2"/>
      </rPr>
      <t xml:space="preserve"> </t>
    </r>
    <r>
      <rPr>
        <sz val="10"/>
        <color rgb="FF000000"/>
        <rFont val="돋움"/>
        <family val="3"/>
        <charset val="129"/>
      </rPr>
      <t>업데이트하시겠습니까</t>
    </r>
    <r>
      <rPr>
        <sz val="10"/>
        <color rgb="FF000000"/>
        <rFont val="Calibri"/>
        <family val="2"/>
      </rPr>
      <t>?\n\n[</t>
    </r>
    <r>
      <rPr>
        <sz val="10"/>
        <color rgb="FF000000"/>
        <rFont val="돋움"/>
        <family val="3"/>
        <charset val="129"/>
      </rPr>
      <t>스케줄업데이트</t>
    </r>
    <r>
      <rPr>
        <sz val="10"/>
        <color rgb="FF000000"/>
        <rFont val="Calibri"/>
        <family val="2"/>
      </rPr>
      <t>]</t>
    </r>
    <r>
      <rPr>
        <sz val="10"/>
        <color rgb="FF000000"/>
        <rFont val="돋움"/>
        <family val="3"/>
        <charset val="129"/>
      </rPr>
      <t>메뉴를</t>
    </r>
    <r>
      <rPr>
        <sz val="10"/>
        <color rgb="FF000000"/>
        <rFont val="Calibri"/>
        <family val="2"/>
      </rPr>
      <t xml:space="preserve"> </t>
    </r>
    <r>
      <rPr>
        <sz val="10"/>
        <color rgb="FF000000"/>
        <rFont val="돋움"/>
        <family val="3"/>
        <charset val="129"/>
      </rPr>
      <t>클릭할</t>
    </r>
    <r>
      <rPr>
        <sz val="10"/>
        <color rgb="FF000000"/>
        <rFont val="Calibri"/>
        <family val="2"/>
      </rPr>
      <t xml:space="preserve"> </t>
    </r>
    <r>
      <rPr>
        <sz val="10"/>
        <color rgb="FF000000"/>
        <rFont val="돋움"/>
        <family val="3"/>
        <charset val="129"/>
      </rPr>
      <t>때와</t>
    </r>
    <r>
      <rPr>
        <sz val="10"/>
        <color rgb="FF000000"/>
        <rFont val="Calibri"/>
        <family val="2"/>
      </rPr>
      <t xml:space="preserve"> </t>
    </r>
    <r>
      <rPr>
        <sz val="10"/>
        <color rgb="FF000000"/>
        <rFont val="돋움"/>
        <family val="3"/>
        <charset val="129"/>
      </rPr>
      <t>동일한</t>
    </r>
    <r>
      <rPr>
        <sz val="10"/>
        <color rgb="FF000000"/>
        <rFont val="Calibri"/>
        <family val="2"/>
      </rPr>
      <t xml:space="preserve"> </t>
    </r>
    <r>
      <rPr>
        <sz val="10"/>
        <color rgb="FF000000"/>
        <rFont val="돋움"/>
        <family val="3"/>
        <charset val="129"/>
      </rPr>
      <t>작업을</t>
    </r>
    <r>
      <rPr>
        <sz val="10"/>
        <color rgb="FF000000"/>
        <rFont val="Calibri"/>
        <family val="2"/>
      </rPr>
      <t xml:space="preserve"> </t>
    </r>
    <r>
      <rPr>
        <sz val="10"/>
        <color rgb="FF000000"/>
        <rFont val="돋움"/>
        <family val="3"/>
        <charset val="129"/>
      </rPr>
      <t>수행합니다</t>
    </r>
    <r>
      <rPr>
        <sz val="10"/>
        <color rgb="FF000000"/>
        <rFont val="Calibri"/>
        <family val="2"/>
      </rPr>
      <t>.</t>
    </r>
  </si>
  <si>
    <t>Planned %Work Complete from the start date to the current date</t>
  </si>
  <si>
    <t>Displays the task name in the different field for each level</t>
  </si>
  <si>
    <t>You can not add "Outlook Appointments" in the selected area.</t>
  </si>
  <si>
    <t>There are no executable programs that open the deliverables.</t>
  </si>
  <si>
    <t>The weight of row number {1} in the {2} sheet is not a number.</t>
  </si>
  <si>
    <t xml:space="preserve">Saturdays, Sundays and the dates entered in the Calendar sheet
</t>
  </si>
  <si>
    <t>* This sheet shows you workload allocations by weeks or months.</t>
  </si>
  <si>
    <t>Project duration is too long. The earliest start date is {1} and the latest finish date is {2}, so the project duration is {3} days. The maximum number of days allowed in XLGantt is {4} days. Reduce the project duration to within the limits allowed by XLGantt.</t>
  </si>
  <si>
    <t>The "Deliverables" column has been deleted. Please retry after changing the sheet to its previous state.</t>
  </si>
  <si>
    <t>Set "the earlist start date and the lastest fisnish date of the tasks" to the Project Start-Finish date.</t>
  </si>
  <si>
    <t>The following file formats are not supported. You can import files with version 0.9.7 or higher than 0.9.7.</t>
  </si>
  <si>
    <t>The "Planned Work" column has been deleted. Please retry after changing the sheet to its previous state.</t>
  </si>
  <si>
    <t>The "Total Duration" column has been deleted. Please retry after changing the sheet to its previous state.</t>
  </si>
  <si>
    <t>The "%Work Complete" column has been deleted. Please retry after changing the sheet to its previous state.</t>
  </si>
  <si>
    <r>
      <rPr>
        <sz val="9"/>
        <color rgb="FF000000"/>
        <rFont val="맑은 고딕"/>
        <family val="3"/>
        <charset val="129"/>
      </rPr>
      <t>작업</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에러가</t>
    </r>
    <r>
      <rPr>
        <sz val="9"/>
        <color rgb="FF000000"/>
        <rFont val="Calibri"/>
        <family val="2"/>
      </rPr>
      <t xml:space="preserve"> </t>
    </r>
    <r>
      <rPr>
        <sz val="9"/>
        <color rgb="FF000000"/>
        <rFont val="맑은 고딕"/>
        <family val="3"/>
        <charset val="129"/>
      </rPr>
      <t>발생했습니다</t>
    </r>
    <r>
      <rPr>
        <sz val="9"/>
        <color rgb="FF000000"/>
        <rFont val="Calibri"/>
        <family val="2"/>
      </rPr>
      <t xml:space="preserve">. </t>
    </r>
    <r>
      <rPr>
        <sz val="9"/>
        <color rgb="FF000000"/>
        <rFont val="맑은 고딕"/>
        <family val="3"/>
        <charset val="129"/>
      </rPr>
      <t>원인은</t>
    </r>
    <r>
      <rPr>
        <sz val="9"/>
        <color rgb="FF000000"/>
        <rFont val="Calibri"/>
        <family val="2"/>
      </rPr>
      <t xml:space="preserve"> </t>
    </r>
    <r>
      <rPr>
        <sz val="9"/>
        <color rgb="FF000000"/>
        <rFont val="맑은 고딕"/>
        <family val="3"/>
        <charset val="129"/>
      </rPr>
      <t>다음</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하나일</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 xml:space="preserve">.\n - </t>
    </r>
    <r>
      <rPr>
        <sz val="9"/>
        <color rgb="FF000000"/>
        <rFont val="맑은 고딕"/>
        <family val="3"/>
        <charset val="129"/>
      </rPr>
      <t>파일이</t>
    </r>
    <r>
      <rPr>
        <sz val="9"/>
        <color rgb="FF000000"/>
        <rFont val="Calibri"/>
        <family val="2"/>
      </rPr>
      <t xml:space="preserve"> </t>
    </r>
    <r>
      <rPr>
        <sz val="9"/>
        <color rgb="FF000000"/>
        <rFont val="맑은 고딕"/>
        <family val="3"/>
        <charset val="129"/>
      </rPr>
      <t>비정상적인</t>
    </r>
    <r>
      <rPr>
        <sz val="9"/>
        <color rgb="FF000000"/>
        <rFont val="Calibri"/>
        <family val="2"/>
      </rPr>
      <t xml:space="preserve"> </t>
    </r>
    <r>
      <rPr>
        <sz val="9"/>
        <color rgb="FF000000"/>
        <rFont val="맑은 고딕"/>
        <family val="3"/>
        <charset val="129"/>
      </rPr>
      <t>경우</t>
    </r>
    <r>
      <rPr>
        <sz val="9"/>
        <color rgb="FF000000"/>
        <rFont val="Calibri"/>
        <family val="2"/>
      </rPr>
      <t>(</t>
    </r>
    <r>
      <rPr>
        <sz val="9"/>
        <color rgb="FF000000"/>
        <rFont val="맑은 고딕"/>
        <family val="3"/>
        <charset val="129"/>
      </rPr>
      <t>엑셀파일이</t>
    </r>
    <r>
      <rPr>
        <sz val="9"/>
        <color rgb="FF000000"/>
        <rFont val="Calibri"/>
        <family val="2"/>
      </rPr>
      <t xml:space="preserve"> </t>
    </r>
    <r>
      <rPr>
        <sz val="9"/>
        <color rgb="FF000000"/>
        <rFont val="맑은 고딕"/>
        <family val="3"/>
        <charset val="129"/>
      </rPr>
      <t>손상된</t>
    </r>
    <r>
      <rPr>
        <sz val="9"/>
        <color rgb="FF000000"/>
        <rFont val="Calibri"/>
        <family val="2"/>
      </rPr>
      <t xml:space="preserve"> </t>
    </r>
    <r>
      <rPr>
        <sz val="9"/>
        <color rgb="FF000000"/>
        <rFont val="맑은 고딕"/>
        <family val="3"/>
        <charset val="129"/>
      </rPr>
      <t>경우</t>
    </r>
    <r>
      <rPr>
        <sz val="9"/>
        <color rgb="FF000000"/>
        <rFont val="Calibri"/>
        <family val="2"/>
      </rPr>
      <t xml:space="preserve"> </t>
    </r>
    <r>
      <rPr>
        <sz val="9"/>
        <color rgb="FF000000"/>
        <rFont val="맑은 고딕"/>
        <family val="3"/>
        <charset val="129"/>
      </rPr>
      <t>등</t>
    </r>
    <r>
      <rPr>
        <sz val="9"/>
        <color rgb="FF000000"/>
        <rFont val="Calibri"/>
        <family val="2"/>
      </rPr>
      <t xml:space="preserve">)\n - </t>
    </r>
    <r>
      <rPr>
        <sz val="9"/>
        <color rgb="FF000000"/>
        <rFont val="맑은 고딕"/>
        <family val="3"/>
        <charset val="129"/>
      </rPr>
      <t>자료</t>
    </r>
    <r>
      <rPr>
        <sz val="9"/>
        <color rgb="FF000000"/>
        <rFont val="Calibri"/>
        <family val="2"/>
      </rPr>
      <t xml:space="preserve"> </t>
    </r>
    <r>
      <rPr>
        <sz val="9"/>
        <color rgb="FF000000"/>
        <rFont val="맑은 고딕"/>
        <family val="3"/>
        <charset val="129"/>
      </rPr>
      <t>포맷이</t>
    </r>
    <r>
      <rPr>
        <sz val="9"/>
        <color rgb="FF000000"/>
        <rFont val="Calibri"/>
        <family val="2"/>
      </rPr>
      <t xml:space="preserve"> </t>
    </r>
    <r>
      <rPr>
        <sz val="9"/>
        <color rgb="FF000000"/>
        <rFont val="맑은 고딕"/>
        <family val="3"/>
        <charset val="129"/>
      </rPr>
      <t>틀린</t>
    </r>
    <r>
      <rPr>
        <sz val="9"/>
        <color rgb="FF000000"/>
        <rFont val="Calibri"/>
        <family val="2"/>
      </rPr>
      <t xml:space="preserve"> </t>
    </r>
    <r>
      <rPr>
        <sz val="9"/>
        <color rgb="FF000000"/>
        <rFont val="맑은 고딕"/>
        <family val="3"/>
        <charset val="129"/>
      </rPr>
      <t>경우</t>
    </r>
    <r>
      <rPr>
        <sz val="9"/>
        <color rgb="FF000000"/>
        <rFont val="Calibri"/>
        <family val="2"/>
      </rPr>
      <t>(1</t>
    </r>
    <r>
      <rPr>
        <sz val="9"/>
        <color rgb="FF000000"/>
        <rFont val="맑은 고딕"/>
        <family val="3"/>
        <charset val="129"/>
      </rPr>
      <t>행에</t>
    </r>
    <r>
      <rPr>
        <sz val="9"/>
        <color rgb="FF000000"/>
        <rFont val="Calibri"/>
        <family val="2"/>
      </rPr>
      <t xml:space="preserve"> </t>
    </r>
    <r>
      <rPr>
        <sz val="9"/>
        <color rgb="FF000000"/>
        <rFont val="맑은 고딕"/>
        <family val="3"/>
        <charset val="129"/>
      </rPr>
      <t>제목</t>
    </r>
    <r>
      <rPr>
        <sz val="9"/>
        <color rgb="FF000000"/>
        <rFont val="Calibri"/>
        <family val="2"/>
      </rPr>
      <t>, 2</t>
    </r>
    <r>
      <rPr>
        <sz val="9"/>
        <color rgb="FF000000"/>
        <rFont val="맑은 고딕"/>
        <family val="3"/>
        <charset val="129"/>
      </rPr>
      <t>행부터</t>
    </r>
    <r>
      <rPr>
        <sz val="9"/>
        <color rgb="FF000000"/>
        <rFont val="Calibri"/>
        <family val="2"/>
      </rPr>
      <t xml:space="preserve"> </t>
    </r>
    <r>
      <rPr>
        <sz val="9"/>
        <color rgb="FF000000"/>
        <rFont val="맑은 고딕"/>
        <family val="3"/>
        <charset val="129"/>
      </rPr>
      <t>내용이</t>
    </r>
    <r>
      <rPr>
        <sz val="9"/>
        <color rgb="FF000000"/>
        <rFont val="Calibri"/>
        <family val="2"/>
      </rPr>
      <t xml:space="preserve"> </t>
    </r>
    <r>
      <rPr>
        <sz val="9"/>
        <color rgb="FF000000"/>
        <rFont val="맑은 고딕"/>
        <family val="3"/>
        <charset val="129"/>
      </rPr>
      <t>들어가</t>
    </r>
    <r>
      <rPr>
        <sz val="9"/>
        <color rgb="FF000000"/>
        <rFont val="Calibri"/>
        <family val="2"/>
      </rPr>
      <t xml:space="preserve"> </t>
    </r>
    <r>
      <rPr>
        <sz val="9"/>
        <color rgb="FF000000"/>
        <rFont val="맑은 고딕"/>
        <family val="3"/>
        <charset val="129"/>
      </rPr>
      <t>있는</t>
    </r>
    <r>
      <rPr>
        <sz val="9"/>
        <color rgb="FF000000"/>
        <rFont val="Calibri"/>
        <family val="2"/>
      </rPr>
      <t xml:space="preserve"> </t>
    </r>
    <r>
      <rPr>
        <sz val="9"/>
        <color rgb="FF000000"/>
        <rFont val="맑은 고딕"/>
        <family val="3"/>
        <charset val="129"/>
      </rPr>
      <t>포맷</t>
    </r>
    <r>
      <rPr>
        <sz val="9"/>
        <color rgb="FF000000"/>
        <rFont val="Calibri"/>
        <family val="2"/>
      </rPr>
      <t xml:space="preserve"> </t>
    </r>
    <r>
      <rPr>
        <sz val="9"/>
        <color rgb="FF000000"/>
        <rFont val="맑은 고딕"/>
        <family val="3"/>
        <charset val="129"/>
      </rPr>
      <t>또는</t>
    </r>
    <r>
      <rPr>
        <sz val="9"/>
        <color rgb="FF000000"/>
        <rFont val="Calibri"/>
        <family val="2"/>
      </rPr>
      <t xml:space="preserve"> XLGantt </t>
    </r>
    <r>
      <rPr>
        <sz val="9"/>
        <color rgb="FF000000"/>
        <rFont val="맑은 고딕"/>
        <family val="3"/>
        <charset val="129"/>
      </rPr>
      <t>파일만</t>
    </r>
    <r>
      <rPr>
        <sz val="9"/>
        <color rgb="FF000000"/>
        <rFont val="Calibri"/>
        <family val="2"/>
      </rPr>
      <t xml:space="preserve"> </t>
    </r>
    <r>
      <rPr>
        <sz val="9"/>
        <color rgb="FF000000"/>
        <rFont val="맑은 고딕"/>
        <family val="3"/>
        <charset val="129"/>
      </rPr>
      <t>허용</t>
    </r>
    <r>
      <rPr>
        <sz val="9"/>
        <color rgb="FF000000"/>
        <rFont val="Calibri"/>
        <family val="2"/>
      </rPr>
      <t xml:space="preserve">)\n - </t>
    </r>
    <r>
      <rPr>
        <sz val="9"/>
        <color rgb="FF000000"/>
        <rFont val="맑은 고딕"/>
        <family val="3"/>
        <charset val="129"/>
      </rPr>
      <t>이미</t>
    </r>
    <r>
      <rPr>
        <sz val="9"/>
        <color rgb="FF000000"/>
        <rFont val="Calibri"/>
        <family val="2"/>
      </rPr>
      <t xml:space="preserve"> </t>
    </r>
    <r>
      <rPr>
        <sz val="9"/>
        <color rgb="FF000000"/>
        <rFont val="맑은 고딕"/>
        <family val="3"/>
        <charset val="129"/>
      </rPr>
      <t>열려있는</t>
    </r>
    <r>
      <rPr>
        <sz val="9"/>
        <color rgb="FF000000"/>
        <rFont val="Calibri"/>
        <family val="2"/>
      </rPr>
      <t xml:space="preserve"> </t>
    </r>
    <r>
      <rPr>
        <sz val="9"/>
        <color rgb="FF000000"/>
        <rFont val="맑은 고딕"/>
        <family val="3"/>
        <charset val="129"/>
      </rPr>
      <t>파일을</t>
    </r>
    <r>
      <rPr>
        <sz val="9"/>
        <color rgb="FF000000"/>
        <rFont val="Calibri"/>
        <family val="2"/>
      </rPr>
      <t xml:space="preserve"> </t>
    </r>
    <r>
      <rPr>
        <sz val="9"/>
        <color rgb="FF000000"/>
        <rFont val="맑은 고딕"/>
        <family val="3"/>
        <charset val="129"/>
      </rPr>
      <t>또</t>
    </r>
    <r>
      <rPr>
        <sz val="9"/>
        <color rgb="FF000000"/>
        <rFont val="Calibri"/>
        <family val="2"/>
      </rPr>
      <t xml:space="preserve"> </t>
    </r>
    <r>
      <rPr>
        <sz val="9"/>
        <color rgb="FF000000"/>
        <rFont val="맑은 고딕"/>
        <family val="3"/>
        <charset val="129"/>
      </rPr>
      <t>열다가</t>
    </r>
    <r>
      <rPr>
        <sz val="9"/>
        <color rgb="FF000000"/>
        <rFont val="Calibri"/>
        <family val="2"/>
      </rPr>
      <t xml:space="preserve"> </t>
    </r>
    <r>
      <rPr>
        <sz val="9"/>
        <color rgb="FF000000"/>
        <rFont val="맑은 고딕"/>
        <family val="3"/>
        <charset val="129"/>
      </rPr>
      <t>취소하는</t>
    </r>
    <r>
      <rPr>
        <sz val="9"/>
        <color rgb="FF000000"/>
        <rFont val="Calibri"/>
        <family val="2"/>
      </rPr>
      <t xml:space="preserve"> </t>
    </r>
    <r>
      <rPr>
        <sz val="9"/>
        <color rgb="FF000000"/>
        <rFont val="맑은 고딕"/>
        <family val="3"/>
        <charset val="129"/>
      </rPr>
      <t>경우</t>
    </r>
    <r>
      <rPr>
        <sz val="9"/>
        <color rgb="FF000000"/>
        <rFont val="Calibri"/>
        <family val="2"/>
      </rPr>
      <t xml:space="preserve">\n\n </t>
    </r>
    <r>
      <rPr>
        <sz val="9"/>
        <color rgb="FF000000"/>
        <rFont val="맑은 고딕"/>
        <family val="3"/>
        <charset val="129"/>
      </rPr>
      <t>자세한</t>
    </r>
    <r>
      <rPr>
        <sz val="9"/>
        <color rgb="FF000000"/>
        <rFont val="Calibri"/>
        <family val="2"/>
      </rPr>
      <t xml:space="preserve"> </t>
    </r>
    <r>
      <rPr>
        <sz val="9"/>
        <color rgb="FF000000"/>
        <rFont val="맑은 고딕"/>
        <family val="3"/>
        <charset val="129"/>
      </rPr>
      <t>원인은</t>
    </r>
    <r>
      <rPr>
        <sz val="9"/>
        <color rgb="FF000000"/>
        <rFont val="Calibri"/>
        <family val="2"/>
      </rPr>
      <t xml:space="preserve"> </t>
    </r>
    <r>
      <rPr>
        <sz val="9"/>
        <color rgb="FF000000"/>
        <rFont val="맑은 고딕"/>
        <family val="3"/>
        <charset val="129"/>
      </rPr>
      <t>아래의</t>
    </r>
    <r>
      <rPr>
        <sz val="9"/>
        <color rgb="FF000000"/>
        <rFont val="Calibri"/>
        <family val="2"/>
      </rPr>
      <t xml:space="preserve"> </t>
    </r>
    <r>
      <rPr>
        <sz val="9"/>
        <color rgb="FF000000"/>
        <rFont val="맑은 고딕"/>
        <family val="3"/>
        <charset val="129"/>
      </rPr>
      <t>메시지를</t>
    </r>
    <r>
      <rPr>
        <sz val="9"/>
        <color rgb="FF000000"/>
        <rFont val="Calibri"/>
        <family val="2"/>
      </rPr>
      <t xml:space="preserve"> </t>
    </r>
    <r>
      <rPr>
        <sz val="9"/>
        <color rgb="FF000000"/>
        <rFont val="맑은 고딕"/>
        <family val="3"/>
        <charset val="129"/>
      </rPr>
      <t>확인하시기</t>
    </r>
    <r>
      <rPr>
        <sz val="9"/>
        <color rgb="FF000000"/>
        <rFont val="Calibri"/>
        <family val="2"/>
      </rPr>
      <t xml:space="preserve"> </t>
    </r>
    <r>
      <rPr>
        <sz val="9"/>
        <color rgb="FF000000"/>
        <rFont val="맑은 고딕"/>
        <family val="3"/>
        <charset val="129"/>
      </rPr>
      <t>바랍니다</t>
    </r>
    <r>
      <rPr>
        <sz val="9"/>
        <color rgb="FF000000"/>
        <rFont val="Calibri"/>
        <family val="2"/>
      </rPr>
      <t>.</t>
    </r>
  </si>
  <si>
    <r>
      <t xml:space="preserve">* </t>
    </r>
    <r>
      <rPr>
        <sz val="9"/>
        <color rgb="FF000000"/>
        <rFont val="맑은 고딕"/>
        <family val="3"/>
        <charset val="129"/>
      </rPr>
      <t>언어를</t>
    </r>
    <r>
      <rPr>
        <sz val="9"/>
        <color rgb="FF000000"/>
        <rFont val="Calibri"/>
        <family val="2"/>
      </rPr>
      <t xml:space="preserve"> </t>
    </r>
    <r>
      <rPr>
        <sz val="9"/>
        <color rgb="FF000000"/>
        <rFont val="맑은 고딕"/>
        <family val="3"/>
        <charset val="129"/>
      </rPr>
      <t>선택하세요</t>
    </r>
  </si>
  <si>
    <r>
      <t>[</t>
    </r>
    <r>
      <rPr>
        <sz val="9"/>
        <color rgb="FF000000"/>
        <rFont val="맑은 고딕"/>
        <family val="3"/>
        <charset val="129"/>
      </rPr>
      <t>담당자미지정</t>
    </r>
    <r>
      <rPr>
        <sz val="9"/>
        <color rgb="FF000000"/>
        <rFont val="Calibri"/>
        <family val="2"/>
      </rPr>
      <t>]</t>
    </r>
  </si>
  <si>
    <t>If you do not enter the actual finish date of row number {1} in the {2} sheet, you can't enter "%Work Complete" as 100%.</t>
  </si>
  <si>
    <r>
      <t xml:space="preserve">* </t>
    </r>
    <r>
      <rPr>
        <sz val="9"/>
        <color rgb="FF000000"/>
        <rFont val="맑은 고딕"/>
        <family val="3"/>
        <charset val="129"/>
      </rPr>
      <t>가져올</t>
    </r>
    <r>
      <rPr>
        <sz val="9"/>
        <color rgb="FF000000"/>
        <rFont val="Calibri"/>
        <family val="2"/>
      </rPr>
      <t xml:space="preserve"> </t>
    </r>
    <r>
      <rPr>
        <sz val="9"/>
        <color rgb="FF000000"/>
        <rFont val="맑은 고딕"/>
        <family val="3"/>
        <charset val="129"/>
      </rPr>
      <t>파일이</t>
    </r>
    <r>
      <rPr>
        <sz val="9"/>
        <color rgb="FF000000"/>
        <rFont val="Calibri"/>
        <family val="2"/>
      </rPr>
      <t xml:space="preserve"> XLGantt</t>
    </r>
    <r>
      <rPr>
        <sz val="9"/>
        <color rgb="FF000000"/>
        <rFont val="맑은 고딕"/>
        <family val="3"/>
        <charset val="129"/>
      </rPr>
      <t>로</t>
    </r>
    <r>
      <rPr>
        <sz val="9"/>
        <color rgb="FF000000"/>
        <rFont val="Calibri"/>
        <family val="2"/>
      </rPr>
      <t xml:space="preserve"> </t>
    </r>
    <r>
      <rPr>
        <sz val="9"/>
        <color rgb="FF000000"/>
        <rFont val="맑은 고딕"/>
        <family val="3"/>
        <charset val="129"/>
      </rPr>
      <t>작성된</t>
    </r>
    <r>
      <rPr>
        <sz val="9"/>
        <color rgb="FF000000"/>
        <rFont val="Calibri"/>
        <family val="2"/>
      </rPr>
      <t xml:space="preserve"> </t>
    </r>
    <r>
      <rPr>
        <sz val="9"/>
        <color rgb="FF000000"/>
        <rFont val="맑은 고딕"/>
        <family val="3"/>
        <charset val="129"/>
      </rPr>
      <t>경우만</t>
    </r>
    <r>
      <rPr>
        <sz val="9"/>
        <color rgb="FF000000"/>
        <rFont val="Calibri"/>
        <family val="2"/>
      </rPr>
      <t xml:space="preserve"> </t>
    </r>
    <r>
      <rPr>
        <sz val="9"/>
        <color rgb="FF000000"/>
        <rFont val="맑은 고딕"/>
        <family val="3"/>
        <charset val="129"/>
      </rPr>
      <t xml:space="preserve">가능
</t>
    </r>
    <r>
      <rPr>
        <sz val="9"/>
        <color rgb="FF000000"/>
        <rFont val="Calibri"/>
        <family val="2"/>
      </rPr>
      <t>\n* XLGantt</t>
    </r>
    <r>
      <rPr>
        <sz val="9"/>
        <color rgb="FF000000"/>
        <rFont val="맑은 고딕"/>
        <family val="3"/>
        <charset val="129"/>
      </rPr>
      <t>의</t>
    </r>
    <r>
      <rPr>
        <sz val="9"/>
        <color rgb="FF000000"/>
        <rFont val="Calibri"/>
        <family val="2"/>
      </rPr>
      <t xml:space="preserve"> </t>
    </r>
    <r>
      <rPr>
        <sz val="9"/>
        <color rgb="FF000000"/>
        <rFont val="맑은 고딕"/>
        <family val="3"/>
        <charset val="129"/>
      </rPr>
      <t>버전이</t>
    </r>
    <r>
      <rPr>
        <sz val="9"/>
        <color rgb="FF000000"/>
        <rFont val="Calibri"/>
        <family val="2"/>
      </rPr>
      <t xml:space="preserve"> 0.9.7 </t>
    </r>
    <r>
      <rPr>
        <sz val="9"/>
        <color rgb="FF000000"/>
        <rFont val="맑은 고딕"/>
        <family val="3"/>
        <charset val="129"/>
      </rPr>
      <t>이상인</t>
    </r>
    <r>
      <rPr>
        <sz val="9"/>
        <color rgb="FF000000"/>
        <rFont val="Calibri"/>
        <family val="2"/>
      </rPr>
      <t xml:space="preserve"> </t>
    </r>
    <r>
      <rPr>
        <sz val="9"/>
        <color rgb="FF000000"/>
        <rFont val="맑은 고딕"/>
        <family val="3"/>
        <charset val="129"/>
      </rPr>
      <t>경우만</t>
    </r>
    <r>
      <rPr>
        <sz val="9"/>
        <color rgb="FF000000"/>
        <rFont val="Calibri"/>
        <family val="2"/>
      </rPr>
      <t xml:space="preserve"> </t>
    </r>
    <r>
      <rPr>
        <sz val="9"/>
        <color rgb="FF000000"/>
        <rFont val="맑은 고딕"/>
        <family val="3"/>
        <charset val="129"/>
      </rPr>
      <t>가능</t>
    </r>
    <r>
      <rPr>
        <sz val="9"/>
        <color rgb="FF000000"/>
        <rFont val="Calibri"/>
        <family val="2"/>
      </rPr>
      <t xml:space="preserve">\n* </t>
    </r>
    <r>
      <rPr>
        <sz val="9"/>
        <color rgb="FF000000"/>
        <rFont val="맑은 고딕"/>
        <family val="3"/>
        <charset val="129"/>
      </rPr>
      <t>자료의</t>
    </r>
    <r>
      <rPr>
        <sz val="9"/>
        <color rgb="FF000000"/>
        <rFont val="Calibri"/>
        <family val="2"/>
      </rPr>
      <t xml:space="preserve"> </t>
    </r>
    <r>
      <rPr>
        <sz val="9"/>
        <color rgb="FF000000"/>
        <rFont val="맑은 고딕"/>
        <family val="3"/>
        <charset val="129"/>
      </rPr>
      <t>갯수는</t>
    </r>
    <r>
      <rPr>
        <sz val="9"/>
        <color rgb="FF000000"/>
        <rFont val="Calibri"/>
        <family val="2"/>
      </rPr>
      <t xml:space="preserve"> 10,000</t>
    </r>
    <r>
      <rPr>
        <sz val="9"/>
        <color rgb="FF000000"/>
        <rFont val="맑은 고딕"/>
        <family val="3"/>
        <charset val="129"/>
      </rPr>
      <t>개</t>
    </r>
    <r>
      <rPr>
        <sz val="9"/>
        <color rgb="FF000000"/>
        <rFont val="Calibri"/>
        <family val="2"/>
      </rPr>
      <t xml:space="preserve"> </t>
    </r>
    <r>
      <rPr>
        <sz val="9"/>
        <color rgb="FF000000"/>
        <rFont val="맑은 고딕"/>
        <family val="3"/>
        <charset val="129"/>
      </rPr>
      <t>이하까지만</t>
    </r>
    <r>
      <rPr>
        <sz val="9"/>
        <color rgb="FF000000"/>
        <rFont val="Calibri"/>
        <family val="2"/>
      </rPr>
      <t xml:space="preserve"> </t>
    </r>
    <r>
      <rPr>
        <sz val="9"/>
        <color rgb="FF000000"/>
        <rFont val="맑은 고딕"/>
        <family val="3"/>
        <charset val="129"/>
      </rPr>
      <t xml:space="preserve">처리됨
</t>
    </r>
    <r>
      <rPr>
        <sz val="9"/>
        <color rgb="FF000000"/>
        <rFont val="Calibri"/>
        <family val="2"/>
      </rPr>
      <t xml:space="preserve">\n* </t>
    </r>
    <r>
      <rPr>
        <sz val="9"/>
        <color rgb="FF000000"/>
        <rFont val="맑은 고딕"/>
        <family val="3"/>
        <charset val="129"/>
      </rPr>
      <t>여러개의</t>
    </r>
    <r>
      <rPr>
        <sz val="9"/>
        <color rgb="FF000000"/>
        <rFont val="Calibri"/>
        <family val="2"/>
      </rPr>
      <t xml:space="preserve"> </t>
    </r>
    <r>
      <rPr>
        <sz val="9"/>
        <color rgb="FF000000"/>
        <rFont val="맑은 고딕"/>
        <family val="3"/>
        <charset val="129"/>
      </rPr>
      <t>파일</t>
    </r>
    <r>
      <rPr>
        <sz val="9"/>
        <color rgb="FF000000"/>
        <rFont val="Calibri"/>
        <family val="2"/>
      </rPr>
      <t xml:space="preserve"> </t>
    </r>
    <r>
      <rPr>
        <sz val="9"/>
        <color rgb="FF000000"/>
        <rFont val="맑은 고딕"/>
        <family val="3"/>
        <charset val="129"/>
      </rPr>
      <t>동시처리</t>
    </r>
    <r>
      <rPr>
        <sz val="9"/>
        <color rgb="FF000000"/>
        <rFont val="Calibri"/>
        <family val="2"/>
      </rPr>
      <t xml:space="preserve"> </t>
    </r>
    <r>
      <rPr>
        <sz val="9"/>
        <color rgb="FF000000"/>
        <rFont val="맑은 고딕"/>
        <family val="3"/>
        <charset val="129"/>
      </rPr>
      <t xml:space="preserve">가능
</t>
    </r>
  </si>
  <si>
    <r>
      <rPr>
        <sz val="9"/>
        <color rgb="FF000000"/>
        <rFont val="맑은 고딕"/>
        <family val="3"/>
        <charset val="129"/>
      </rPr>
      <t>실제완료일</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</si>
  <si>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rPr>
        <sz val="9"/>
        <color rgb="FF000000"/>
        <rFont val="맑은 고딕"/>
        <family val="3"/>
        <charset val="129"/>
      </rPr>
      <t>작업명</t>
    </r>
    <r>
      <rPr>
        <sz val="9"/>
        <color rgb="FF000000"/>
        <rFont val="Calibri"/>
        <family val="2"/>
      </rPr>
      <t xml:space="preserve"> </t>
    </r>
    <r>
      <rPr>
        <sz val="9"/>
        <color rgb="FF000000"/>
        <rFont val="맑은 고딕"/>
        <family val="3"/>
        <charset val="129"/>
      </rPr>
      <t>필드입니다</t>
    </r>
    <r>
      <rPr>
        <sz val="9"/>
        <color rgb="FF000000"/>
        <rFont val="Calibri"/>
        <family val="2"/>
      </rPr>
      <t xml:space="preserve">. </t>
    </r>
    <r>
      <rPr>
        <sz val="9"/>
        <color rgb="FF000000"/>
        <rFont val="맑은 고딕"/>
        <family val="3"/>
        <charset val="129"/>
      </rPr>
      <t>이름</t>
    </r>
    <r>
      <rPr>
        <sz val="9"/>
        <color rgb="FF000000"/>
        <rFont val="Calibri"/>
        <family val="2"/>
      </rPr>
      <t>, Task, Activity</t>
    </r>
    <r>
      <rPr>
        <sz val="9"/>
        <color rgb="FF000000"/>
        <rFont val="맑은 고딕"/>
        <family val="3"/>
        <charset val="129"/>
      </rPr>
      <t>등</t>
    </r>
    <r>
      <rPr>
        <sz val="9"/>
        <color rgb="FF000000"/>
        <rFont val="Calibri"/>
        <family val="2"/>
      </rPr>
      <t xml:space="preserve"> </t>
    </r>
    <r>
      <rPr>
        <sz val="9"/>
        <color rgb="FF000000"/>
        <rFont val="맑은 고딕"/>
        <family val="3"/>
        <charset val="129"/>
      </rPr>
      <t>다른</t>
    </r>
    <r>
      <rPr>
        <sz val="9"/>
        <color rgb="FF000000"/>
        <rFont val="Calibri"/>
        <family val="2"/>
      </rPr>
      <t xml:space="preserve"> </t>
    </r>
    <r>
      <rPr>
        <sz val="9"/>
        <color rgb="FF000000"/>
        <rFont val="맑은 고딕"/>
        <family val="3"/>
        <charset val="129"/>
      </rPr>
      <t>이름으로</t>
    </r>
    <r>
      <rPr>
        <sz val="9"/>
        <color rgb="FF000000"/>
        <rFont val="Calibri"/>
        <family val="2"/>
      </rPr>
      <t xml:space="preserve"> </t>
    </r>
    <r>
      <rPr>
        <sz val="9"/>
        <color rgb="FF000000"/>
        <rFont val="맑은 고딕"/>
        <family val="3"/>
        <charset val="129"/>
      </rPr>
      <t>불리기도</t>
    </r>
    <r>
      <rPr>
        <sz val="9"/>
        <color rgb="FF000000"/>
        <rFont val="Calibri"/>
        <family val="2"/>
      </rPr>
      <t xml:space="preserve"> </t>
    </r>
    <r>
      <rPr>
        <sz val="9"/>
        <color rgb="FF000000"/>
        <rFont val="맑은 고딕"/>
        <family val="3"/>
        <charset val="129"/>
      </rPr>
      <t>합니다</t>
    </r>
    <r>
      <rPr>
        <sz val="9"/>
        <color rgb="FF000000"/>
        <rFont val="Calibri"/>
        <family val="2"/>
      </rPr>
      <t xml:space="preserve">. </t>
    </r>
    <r>
      <rPr>
        <sz val="9"/>
        <color rgb="FF000000"/>
        <rFont val="맑은 고딕"/>
        <family val="3"/>
        <charset val="129"/>
      </rPr>
      <t>작업의</t>
    </r>
    <r>
      <rPr>
        <sz val="9"/>
        <color rgb="FF000000"/>
        <rFont val="Calibri"/>
        <family val="2"/>
      </rPr>
      <t xml:space="preserve"> Level</t>
    </r>
    <r>
      <rPr>
        <sz val="9"/>
        <color rgb="FF000000"/>
        <rFont val="맑은 고딕"/>
        <family val="3"/>
        <charset val="129"/>
      </rPr>
      <t>에</t>
    </r>
    <r>
      <rPr>
        <sz val="9"/>
        <color rgb="FF000000"/>
        <rFont val="Calibri"/>
        <family val="2"/>
      </rPr>
      <t xml:space="preserve"> </t>
    </r>
    <r>
      <rPr>
        <sz val="9"/>
        <color rgb="FF000000"/>
        <rFont val="맑은 고딕"/>
        <family val="3"/>
        <charset val="129"/>
      </rPr>
      <t>따라</t>
    </r>
    <r>
      <rPr>
        <sz val="9"/>
        <color rgb="FF000000"/>
        <rFont val="Calibri"/>
        <family val="2"/>
      </rPr>
      <t xml:space="preserve"> </t>
    </r>
    <r>
      <rPr>
        <sz val="9"/>
        <color rgb="FF000000"/>
        <rFont val="맑은 고딕"/>
        <family val="3"/>
        <charset val="129"/>
      </rPr>
      <t>표시하는</t>
    </r>
    <r>
      <rPr>
        <sz val="9"/>
        <color rgb="FF000000"/>
        <rFont val="Calibri"/>
        <family val="2"/>
      </rPr>
      <t xml:space="preserve"> </t>
    </r>
    <r>
      <rPr>
        <sz val="9"/>
        <color rgb="FF000000"/>
        <rFont val="맑은 고딕"/>
        <family val="3"/>
        <charset val="129"/>
      </rPr>
      <t>방식이</t>
    </r>
    <r>
      <rPr>
        <sz val="9"/>
        <color rgb="FF000000"/>
        <rFont val="Calibri"/>
        <family val="2"/>
      </rPr>
      <t xml:space="preserve"> </t>
    </r>
    <r>
      <rPr>
        <sz val="9"/>
        <color rgb="FF000000"/>
        <rFont val="맑은 고딕"/>
        <family val="3"/>
        <charset val="129"/>
      </rPr>
      <t>다를</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 Level</t>
    </r>
    <r>
      <rPr>
        <sz val="9"/>
        <color rgb="FF000000"/>
        <rFont val="맑은 고딕"/>
        <family val="3"/>
        <charset val="129"/>
      </rPr>
      <t>별로</t>
    </r>
    <r>
      <rPr>
        <sz val="9"/>
        <color rgb="FF000000"/>
        <rFont val="Calibri"/>
        <family val="2"/>
      </rPr>
      <t xml:space="preserve"> </t>
    </r>
    <r>
      <rPr>
        <sz val="9"/>
        <color rgb="FF000000"/>
        <rFont val="맑은 고딕"/>
        <family val="3"/>
        <charset val="129"/>
      </rPr>
      <t>다른</t>
    </r>
    <r>
      <rPr>
        <sz val="9"/>
        <color rgb="FF000000"/>
        <rFont val="Calibri"/>
        <family val="2"/>
      </rPr>
      <t xml:space="preserve"> </t>
    </r>
    <r>
      <rPr>
        <sz val="9"/>
        <color rgb="FF000000"/>
        <rFont val="맑은 고딕"/>
        <family val="3"/>
        <charset val="129"/>
      </rPr>
      <t>필드에</t>
    </r>
    <r>
      <rPr>
        <sz val="9"/>
        <color rgb="FF000000"/>
        <rFont val="Calibri"/>
        <family val="2"/>
      </rPr>
      <t xml:space="preserve"> </t>
    </r>
    <r>
      <rPr>
        <sz val="9"/>
        <color rgb="FF000000"/>
        <rFont val="맑은 고딕"/>
        <family val="3"/>
        <charset val="129"/>
      </rPr>
      <t>작업명이</t>
    </r>
    <r>
      <rPr>
        <sz val="9"/>
        <color rgb="FF000000"/>
        <rFont val="Calibri"/>
        <family val="2"/>
      </rPr>
      <t xml:space="preserve"> </t>
    </r>
    <r>
      <rPr>
        <sz val="9"/>
        <color rgb="FF000000"/>
        <rFont val="맑은 고딕"/>
        <family val="3"/>
        <charset val="129"/>
      </rPr>
      <t>표시되는</t>
    </r>
    <r>
      <rPr>
        <sz val="9"/>
        <color rgb="FF000000"/>
        <rFont val="Calibri"/>
        <family val="2"/>
      </rPr>
      <t xml:space="preserve"> </t>
    </r>
    <r>
      <rPr>
        <sz val="9"/>
        <color rgb="FF000000"/>
        <rFont val="맑은 고딕"/>
        <family val="3"/>
        <charset val="129"/>
      </rPr>
      <t>경우에는</t>
    </r>
    <r>
      <rPr>
        <sz val="9"/>
        <color rgb="FF000000"/>
        <rFont val="Calibri"/>
        <family val="2"/>
      </rPr>
      <t xml:space="preserve"> 1 Level </t>
    </r>
    <r>
      <rPr>
        <sz val="9"/>
        <color rgb="FF000000"/>
        <rFont val="맑은 고딕"/>
        <family val="3"/>
        <charset val="129"/>
      </rPr>
      <t>필드만</t>
    </r>
    <r>
      <rPr>
        <sz val="9"/>
        <color rgb="FF000000"/>
        <rFont val="Calibri"/>
        <family val="2"/>
      </rPr>
      <t xml:space="preserve"> Traget</t>
    </r>
    <r>
      <rPr>
        <sz val="9"/>
        <color rgb="FF000000"/>
        <rFont val="맑은 고딕"/>
        <family val="3"/>
        <charset val="129"/>
      </rPr>
      <t>파일의</t>
    </r>
    <r>
      <rPr>
        <sz val="9"/>
        <color rgb="FF000000"/>
        <rFont val="Calibri"/>
        <family val="2"/>
      </rPr>
      <t xml:space="preserve"> "</t>
    </r>
    <r>
      <rPr>
        <sz val="9"/>
        <color rgb="FF000000"/>
        <rFont val="맑은 고딕"/>
        <family val="3"/>
        <charset val="129"/>
      </rPr>
      <t>작업명</t>
    </r>
    <r>
      <rPr>
        <sz val="9"/>
        <color rgb="FF000000"/>
        <rFont val="Calibri"/>
        <family val="2"/>
      </rPr>
      <t>"</t>
    </r>
    <r>
      <rPr>
        <sz val="9"/>
        <color rgb="FF000000"/>
        <rFont val="맑은 고딕"/>
        <family val="3"/>
        <charset val="129"/>
      </rPr>
      <t>필드와</t>
    </r>
    <r>
      <rPr>
        <sz val="9"/>
        <color rgb="FF000000"/>
        <rFont val="Calibri"/>
        <family val="2"/>
      </rPr>
      <t xml:space="preserve"> Mapping</t>
    </r>
    <r>
      <rPr>
        <sz val="9"/>
        <color rgb="FF000000"/>
        <rFont val="맑은 고딕"/>
        <family val="3"/>
        <charset val="129"/>
      </rPr>
      <t>하면</t>
    </r>
    <r>
      <rPr>
        <sz val="9"/>
        <color rgb="FF000000"/>
        <rFont val="Calibri"/>
        <family val="2"/>
      </rPr>
      <t xml:space="preserve"> </t>
    </r>
    <r>
      <rPr>
        <sz val="9"/>
        <color rgb="FF000000"/>
        <rFont val="맑은 고딕"/>
        <family val="3"/>
        <charset val="129"/>
      </rPr>
      <t>됩니다</t>
    </r>
    <r>
      <rPr>
        <sz val="9"/>
        <color rgb="FF000000"/>
        <rFont val="Calibri"/>
        <family val="2"/>
      </rPr>
      <t>.</t>
    </r>
  </si>
  <si>
    <t>Unable to open file. Please change the "Check if you save deliverables in specific directory" option to the checked state in the Setting&gt;Deliverables tab.</t>
  </si>
  <si>
    <t>Planned workload from the start date to the current date</t>
  </si>
  <si>
    <t>* This sheet shows you workload allocations by resources.</t>
  </si>
  <si>
    <t>Actually Performed workload when managing schedule changes</t>
  </si>
  <si>
    <t>You can add "Outlook Appointments" only on the {} sheet.</t>
  </si>
  <si>
    <t>Start date is invalid. Verify row {} of the source file.</t>
  </si>
  <si>
    <r>
      <rPr>
        <sz val="9"/>
        <color rgb="FF000000"/>
        <rFont val="맑은 고딕"/>
        <family val="3"/>
        <charset val="129"/>
      </rPr>
      <t>다음</t>
    </r>
    <r>
      <rPr>
        <sz val="9"/>
        <color rgb="FF000000"/>
        <rFont val="Calibri"/>
        <family val="2"/>
      </rPr>
      <t xml:space="preserve"> </t>
    </r>
    <r>
      <rPr>
        <sz val="9"/>
        <color rgb="FF000000"/>
        <rFont val="맑은 고딕"/>
        <family val="3"/>
        <charset val="129"/>
      </rPr>
      <t>파일은</t>
    </r>
    <r>
      <rPr>
        <sz val="9"/>
        <color rgb="FF000000"/>
        <rFont val="Calibri"/>
        <family val="2"/>
      </rPr>
      <t xml:space="preserve"> </t>
    </r>
    <r>
      <rPr>
        <sz val="9"/>
        <color rgb="FF000000"/>
        <rFont val="맑은 고딕"/>
        <family val="3"/>
        <charset val="129"/>
      </rPr>
      <t>지원하지</t>
    </r>
    <r>
      <rPr>
        <sz val="9"/>
        <color rgb="FF000000"/>
        <rFont val="Calibri"/>
        <family val="2"/>
      </rPr>
      <t xml:space="preserve"> </t>
    </r>
    <r>
      <rPr>
        <sz val="9"/>
        <color rgb="FF000000"/>
        <rFont val="맑은 고딕"/>
        <family val="3"/>
        <charset val="129"/>
      </rPr>
      <t>않는</t>
    </r>
    <r>
      <rPr>
        <sz val="9"/>
        <color rgb="FF000000"/>
        <rFont val="Calibri"/>
        <family val="2"/>
      </rPr>
      <t xml:space="preserve"> </t>
    </r>
    <r>
      <rPr>
        <sz val="9"/>
        <color rgb="FF000000"/>
        <rFont val="맑은 고딕"/>
        <family val="3"/>
        <charset val="129"/>
      </rPr>
      <t>형식입니다</t>
    </r>
    <r>
      <rPr>
        <sz val="9"/>
        <color rgb="FF000000"/>
        <rFont val="Calibri"/>
        <family val="2"/>
      </rPr>
      <t xml:space="preserve">. XLGantt Version 0.9.7 </t>
    </r>
    <r>
      <rPr>
        <sz val="9"/>
        <color rgb="FF000000"/>
        <rFont val="맑은 고딕"/>
        <family val="3"/>
        <charset val="129"/>
      </rPr>
      <t>이상</t>
    </r>
    <r>
      <rPr>
        <sz val="9"/>
        <color rgb="FF000000"/>
        <rFont val="Calibri"/>
        <family val="2"/>
      </rPr>
      <t xml:space="preserve"> </t>
    </r>
    <r>
      <rPr>
        <sz val="9"/>
        <color rgb="FF000000"/>
        <rFont val="맑은 고딕"/>
        <family val="3"/>
        <charset val="129"/>
      </rPr>
      <t>버전만</t>
    </r>
    <r>
      <rPr>
        <sz val="9"/>
        <color rgb="FF000000"/>
        <rFont val="Calibri"/>
        <family val="2"/>
      </rPr>
      <t xml:space="preserve"> </t>
    </r>
    <r>
      <rPr>
        <sz val="9"/>
        <color rgb="FF000000"/>
        <rFont val="맑은 고딕"/>
        <family val="3"/>
        <charset val="129"/>
      </rPr>
      <t>지원합니다</t>
    </r>
    <r>
      <rPr>
        <sz val="9"/>
        <color rgb="FF000000"/>
        <rFont val="Calibri"/>
        <family val="2"/>
      </rPr>
      <t>.</t>
    </r>
  </si>
  <si>
    <t>You can't remove the default languages(English and Korean).</t>
  </si>
  <si>
    <t>The task of the first row of the {} sheet is not level 1.</t>
  </si>
  <si>
    <r>
      <rPr>
        <sz val="9"/>
        <color rgb="FF000000"/>
        <rFont val="맑은 고딕"/>
        <family val="3"/>
        <charset val="129"/>
      </rPr>
      <t>다음의</t>
    </r>
    <r>
      <rPr>
        <sz val="9"/>
        <color rgb="FF000000"/>
        <rFont val="Calibri"/>
        <family val="2"/>
      </rPr>
      <t xml:space="preserve"> XLGantt</t>
    </r>
    <r>
      <rPr>
        <sz val="9"/>
        <color rgb="FF000000"/>
        <rFont val="맑은 고딕"/>
        <family val="3"/>
        <charset val="129"/>
      </rPr>
      <t>파일은</t>
    </r>
    <r>
      <rPr>
        <sz val="9"/>
        <color rgb="FF000000"/>
        <rFont val="Calibri"/>
        <family val="2"/>
      </rPr>
      <t xml:space="preserve"> </t>
    </r>
    <r>
      <rPr>
        <sz val="9"/>
        <color rgb="FF000000"/>
        <rFont val="맑은 고딕"/>
        <family val="3"/>
        <charset val="129"/>
      </rPr>
      <t>지원하지</t>
    </r>
    <r>
      <rPr>
        <sz val="9"/>
        <color rgb="FF000000"/>
        <rFont val="Calibri"/>
        <family val="2"/>
      </rPr>
      <t xml:space="preserve"> </t>
    </r>
    <r>
      <rPr>
        <sz val="9"/>
        <color rgb="FF000000"/>
        <rFont val="맑은 고딕"/>
        <family val="3"/>
        <charset val="129"/>
      </rPr>
      <t>않는</t>
    </r>
    <r>
      <rPr>
        <sz val="9"/>
        <color rgb="FF000000"/>
        <rFont val="Calibri"/>
        <family val="2"/>
      </rPr>
      <t xml:space="preserve"> </t>
    </r>
    <r>
      <rPr>
        <sz val="9"/>
        <color rgb="FF000000"/>
        <rFont val="맑은 고딕"/>
        <family val="3"/>
        <charset val="129"/>
      </rPr>
      <t>버전입니다</t>
    </r>
    <r>
      <rPr>
        <sz val="9"/>
        <color rgb="FF000000"/>
        <rFont val="Calibri"/>
        <family val="2"/>
      </rPr>
      <t xml:space="preserve">. Version 0.9.7 </t>
    </r>
    <r>
      <rPr>
        <sz val="9"/>
        <color rgb="FF000000"/>
        <rFont val="맑은 고딕"/>
        <family val="3"/>
        <charset val="129"/>
      </rPr>
      <t>이상</t>
    </r>
    <r>
      <rPr>
        <sz val="9"/>
        <color rgb="FF000000"/>
        <rFont val="Calibri"/>
        <family val="2"/>
      </rPr>
      <t xml:space="preserve"> </t>
    </r>
    <r>
      <rPr>
        <sz val="9"/>
        <color rgb="FF000000"/>
        <rFont val="맑은 고딕"/>
        <family val="3"/>
        <charset val="129"/>
      </rPr>
      <t>버전만</t>
    </r>
    <r>
      <rPr>
        <sz val="9"/>
        <color rgb="FF000000"/>
        <rFont val="Calibri"/>
        <family val="2"/>
      </rPr>
      <t xml:space="preserve"> </t>
    </r>
    <r>
      <rPr>
        <sz val="9"/>
        <color rgb="FF000000"/>
        <rFont val="맑은 고딕"/>
        <family val="3"/>
        <charset val="129"/>
      </rPr>
      <t>지원합니다</t>
    </r>
    <r>
      <rPr>
        <sz val="9"/>
        <color rgb="FF000000"/>
        <rFont val="Calibri"/>
        <family val="2"/>
      </rPr>
      <t>.</t>
    </r>
  </si>
  <si>
    <t>* This sheet shows you planned project progresses by weeks.</t>
  </si>
  <si>
    <t>Finish date is invalid. Verify row {} of the source file.</t>
  </si>
  <si>
    <t>Positive - ahead of schedule, Negative - behind schedule</t>
  </si>
  <si>
    <t>There is no input data. Please enter after reformatting.</t>
  </si>
  <si>
    <t>해당작업의 시작일부터 현재일까지의 작업기간을 의미함(현재 날짜까지 진행되었어야 할 기간)</t>
  </si>
  <si>
    <t>The format of the project finish date is invalid.</t>
  </si>
  <si>
    <t xml:space="preserve"> Setting nonworking days in the project calendar</t>
  </si>
  <si>
    <r>
      <rPr>
        <sz val="9"/>
        <color rgb="FF000000"/>
        <rFont val="맑은 고딕"/>
        <family val="3"/>
        <charset val="129"/>
      </rPr>
      <t>최신버전</t>
    </r>
    <r>
      <rPr>
        <sz val="9"/>
        <color rgb="FF000000"/>
        <rFont val="Calibri"/>
        <family val="2"/>
      </rPr>
      <t xml:space="preserve"> </t>
    </r>
    <r>
      <rPr>
        <sz val="9"/>
        <color rgb="FF000000"/>
        <rFont val="맑은 고딕"/>
        <family val="3"/>
        <charset val="129"/>
      </rPr>
      <t>확인</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에러가</t>
    </r>
    <r>
      <rPr>
        <sz val="9"/>
        <color rgb="FF000000"/>
        <rFont val="Calibri"/>
        <family val="2"/>
      </rPr>
      <t xml:space="preserve"> </t>
    </r>
    <r>
      <rPr>
        <sz val="9"/>
        <color rgb="FF000000"/>
        <rFont val="맑은 고딕"/>
        <family val="3"/>
        <charset val="129"/>
      </rPr>
      <t>발생했습니다</t>
    </r>
    <r>
      <rPr>
        <sz val="9"/>
        <color rgb="FF000000"/>
        <rFont val="Calibri"/>
        <family val="2"/>
      </rPr>
      <t xml:space="preserve">. </t>
    </r>
    <r>
      <rPr>
        <sz val="9"/>
        <color rgb="FF000000"/>
        <rFont val="맑은 고딕"/>
        <family val="3"/>
        <charset val="129"/>
      </rPr>
      <t>잠시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다시</t>
    </r>
    <r>
      <rPr>
        <sz val="9"/>
        <color rgb="FF000000"/>
        <rFont val="Calibri"/>
        <family val="2"/>
      </rPr>
      <t xml:space="preserve"> </t>
    </r>
    <r>
      <rPr>
        <sz val="9"/>
        <color rgb="FF000000"/>
        <rFont val="맑은 고딕"/>
        <family val="3"/>
        <charset val="129"/>
      </rPr>
      <t>시도하세요</t>
    </r>
    <r>
      <rPr>
        <sz val="9"/>
        <color rgb="FF000000"/>
        <rFont val="Calibri"/>
        <family val="2"/>
      </rPr>
      <t>.\n</t>
    </r>
    <r>
      <rPr>
        <sz val="9"/>
        <color rgb="FF000000"/>
        <rFont val="맑은 고딕"/>
        <family val="3"/>
        <charset val="129"/>
      </rPr>
      <t>에러메시지</t>
    </r>
    <r>
      <rPr>
        <sz val="9"/>
        <color rgb="FF000000"/>
        <rFont val="Calibri"/>
        <family val="2"/>
      </rPr>
      <t xml:space="preserve"> : {}</t>
    </r>
  </si>
  <si>
    <t>Follow the language setting of your computer O/S</t>
  </si>
  <si>
    <r>
      <rPr>
        <sz val="9"/>
        <color rgb="FF000000"/>
        <rFont val="맑은 고딕"/>
        <family val="3"/>
        <charset val="129"/>
      </rPr>
      <t>이</t>
    </r>
    <r>
      <rPr>
        <sz val="9"/>
        <color rgb="FF000000"/>
        <rFont val="Calibri"/>
        <family val="2"/>
      </rPr>
      <t xml:space="preserve"> XLGantt</t>
    </r>
    <r>
      <rPr>
        <sz val="9"/>
        <color rgb="FF000000"/>
        <rFont val="맑은 고딕"/>
        <family val="3"/>
        <charset val="129"/>
      </rPr>
      <t>파일에</t>
    </r>
    <r>
      <rPr>
        <sz val="9"/>
        <color rgb="FF000000"/>
        <rFont val="Calibri"/>
        <family val="2"/>
      </rPr>
      <t xml:space="preserve"> </t>
    </r>
    <r>
      <rPr>
        <sz val="9"/>
        <color rgb="FF000000"/>
        <rFont val="맑은 고딕"/>
        <family val="3"/>
        <charset val="129"/>
      </rPr>
      <t>있는</t>
    </r>
    <r>
      <rPr>
        <sz val="9"/>
        <color rgb="FF000000"/>
        <rFont val="Calibri"/>
        <family val="2"/>
      </rPr>
      <t xml:space="preserve"> Data</t>
    </r>
    <r>
      <rPr>
        <sz val="9"/>
        <color rgb="FF000000"/>
        <rFont val="맑은 고딕"/>
        <family val="3"/>
        <charset val="129"/>
      </rPr>
      <t>를</t>
    </r>
    <r>
      <rPr>
        <sz val="9"/>
        <color rgb="FF000000"/>
        <rFont val="Calibri"/>
        <family val="2"/>
      </rPr>
      <t xml:space="preserve"> </t>
    </r>
    <r>
      <rPr>
        <sz val="9"/>
        <color rgb="FF000000"/>
        <rFont val="맑은 고딕"/>
        <family val="3"/>
        <charset val="129"/>
      </rPr>
      <t>지우고</t>
    </r>
    <r>
      <rPr>
        <sz val="9"/>
        <color rgb="FF000000"/>
        <rFont val="Calibri"/>
        <family val="2"/>
      </rPr>
      <t xml:space="preserve"> </t>
    </r>
    <r>
      <rPr>
        <sz val="9"/>
        <color rgb="FF000000"/>
        <rFont val="맑은 고딕"/>
        <family val="3"/>
        <charset val="129"/>
      </rPr>
      <t>새로운</t>
    </r>
    <r>
      <rPr>
        <sz val="9"/>
        <color rgb="FF000000"/>
        <rFont val="Calibri"/>
        <family val="2"/>
      </rPr>
      <t xml:space="preserve"> Data</t>
    </r>
    <r>
      <rPr>
        <sz val="9"/>
        <color rgb="FF000000"/>
        <rFont val="맑은 고딕"/>
        <family val="3"/>
        <charset val="129"/>
      </rPr>
      <t>를</t>
    </r>
    <r>
      <rPr>
        <sz val="9"/>
        <color rgb="FF000000"/>
        <rFont val="Calibri"/>
        <family val="2"/>
      </rPr>
      <t xml:space="preserve"> </t>
    </r>
    <r>
      <rPr>
        <sz val="9"/>
        <color rgb="FF000000"/>
        <rFont val="맑은 고딕"/>
        <family val="3"/>
        <charset val="129"/>
      </rPr>
      <t>가져와서</t>
    </r>
    <r>
      <rPr>
        <sz val="9"/>
        <color rgb="FF000000"/>
        <rFont val="Calibri"/>
        <family val="2"/>
      </rPr>
      <t xml:space="preserve"> 
</t>
    </r>
    <r>
      <rPr>
        <sz val="9"/>
        <color rgb="FF000000"/>
        <rFont val="맑은 고딕"/>
        <family val="3"/>
        <charset val="129"/>
      </rPr>
      <t>붙여</t>
    </r>
    <r>
      <rPr>
        <sz val="9"/>
        <color rgb="FF000000"/>
        <rFont val="Calibri"/>
        <family val="2"/>
      </rPr>
      <t xml:space="preserve"> </t>
    </r>
    <r>
      <rPr>
        <sz val="9"/>
        <color rgb="FF000000"/>
        <rFont val="맑은 고딕"/>
        <family val="3"/>
        <charset val="129"/>
      </rPr>
      <t>넣기</t>
    </r>
  </si>
  <si>
    <r>
      <rPr>
        <sz val="9"/>
        <color rgb="FF000000"/>
        <rFont val="맑은 고딕"/>
        <family val="3"/>
        <charset val="129"/>
      </rPr>
      <t>컴퓨터</t>
    </r>
    <r>
      <rPr>
        <sz val="9"/>
        <color rgb="FF000000"/>
        <rFont val="Calibri"/>
        <family val="2"/>
      </rPr>
      <t xml:space="preserve"> O/S</t>
    </r>
    <r>
      <rPr>
        <sz val="9"/>
        <color rgb="FF000000"/>
        <rFont val="맑은 고딕"/>
        <family val="3"/>
        <charset val="129"/>
      </rPr>
      <t>에</t>
    </r>
    <r>
      <rPr>
        <sz val="9"/>
        <color rgb="FF000000"/>
        <rFont val="Calibri"/>
        <family val="2"/>
      </rPr>
      <t xml:space="preserve"> </t>
    </r>
    <r>
      <rPr>
        <sz val="9"/>
        <color rgb="FF000000"/>
        <rFont val="맑은 고딕"/>
        <family val="3"/>
        <charset val="129"/>
      </rPr>
      <t>설정된</t>
    </r>
    <r>
      <rPr>
        <sz val="9"/>
        <color rgb="FF000000"/>
        <rFont val="Calibri"/>
        <family val="2"/>
      </rPr>
      <t xml:space="preserve"> </t>
    </r>
    <r>
      <rPr>
        <sz val="9"/>
        <color rgb="FF000000"/>
        <rFont val="맑은 고딕"/>
        <family val="3"/>
        <charset val="129"/>
      </rPr>
      <t>언어와</t>
    </r>
    <r>
      <rPr>
        <sz val="9"/>
        <color rgb="FF000000"/>
        <rFont val="Calibri"/>
        <family val="2"/>
      </rPr>
      <t xml:space="preserve"> </t>
    </r>
    <r>
      <rPr>
        <sz val="9"/>
        <color rgb="FF000000"/>
        <rFont val="맑은 고딕"/>
        <family val="3"/>
        <charset val="129"/>
      </rPr>
      <t>관계없이</t>
    </r>
    <r>
      <rPr>
        <sz val="9"/>
        <color rgb="FF000000"/>
        <rFont val="Calibri"/>
        <family val="2"/>
      </rPr>
      <t xml:space="preserve"> </t>
    </r>
    <r>
      <rPr>
        <sz val="9"/>
        <color rgb="FF000000"/>
        <rFont val="맑은 고딕"/>
        <family val="3"/>
        <charset val="129"/>
      </rPr>
      <t>사용자가</t>
    </r>
    <r>
      <rPr>
        <sz val="9"/>
        <color rgb="FF000000"/>
        <rFont val="Calibri"/>
        <family val="2"/>
      </rPr>
      <t xml:space="preserve"> </t>
    </r>
    <r>
      <rPr>
        <sz val="9"/>
        <color rgb="FF000000"/>
        <rFont val="맑은 고딕"/>
        <family val="3"/>
        <charset val="129"/>
      </rPr>
      <t>표시할</t>
    </r>
    <r>
      <rPr>
        <sz val="9"/>
        <color rgb="FF000000"/>
        <rFont val="Calibri"/>
        <family val="2"/>
      </rPr>
      <t xml:space="preserve"> </t>
    </r>
    <r>
      <rPr>
        <sz val="9"/>
        <color rgb="FF000000"/>
        <rFont val="맑은 고딕"/>
        <family val="3"/>
        <charset val="129"/>
      </rPr>
      <t>언어를</t>
    </r>
    <r>
      <rPr>
        <sz val="9"/>
        <color rgb="FF000000"/>
        <rFont val="Calibri"/>
        <family val="2"/>
      </rPr>
      <t xml:space="preserve"> </t>
    </r>
    <r>
      <rPr>
        <sz val="9"/>
        <color rgb="FF000000"/>
        <rFont val="맑은 고딕"/>
        <family val="3"/>
        <charset val="129"/>
      </rPr>
      <t>직접</t>
    </r>
    <r>
      <rPr>
        <sz val="9"/>
        <color rgb="FF000000"/>
        <rFont val="Calibri"/>
        <family val="2"/>
      </rPr>
      <t xml:space="preserve"> </t>
    </r>
    <r>
      <rPr>
        <sz val="9"/>
        <color rgb="FF000000"/>
        <rFont val="맑은 고딕"/>
        <family val="3"/>
        <charset val="129"/>
      </rPr>
      <t>선택할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t>
    </r>
  </si>
  <si>
    <t>* This sheet shows you workload and %Work complete.</t>
  </si>
  <si>
    <r>
      <rPr>
        <sz val="9"/>
        <color rgb="FF000000"/>
        <rFont val="맑은 고딕"/>
        <family val="3"/>
        <charset val="129"/>
      </rPr>
      <t>시작일자에</t>
    </r>
    <r>
      <rPr>
        <sz val="9"/>
        <color rgb="FF000000"/>
        <rFont val="Calibri"/>
        <family val="2"/>
      </rPr>
      <t xml:space="preserve"> </t>
    </r>
    <r>
      <rPr>
        <sz val="9"/>
        <color rgb="FF000000"/>
        <rFont val="맑은 고딕"/>
        <family val="3"/>
        <charset val="129"/>
      </rPr>
      <t>날짜가</t>
    </r>
    <r>
      <rPr>
        <sz val="9"/>
        <color rgb="FF000000"/>
        <rFont val="Calibri"/>
        <family val="2"/>
      </rPr>
      <t xml:space="preserve"> </t>
    </r>
    <r>
      <rPr>
        <sz val="9"/>
        <color rgb="FF000000"/>
        <rFont val="맑은 고딕"/>
        <family val="3"/>
        <charset val="129"/>
      </rPr>
      <t>아닌</t>
    </r>
    <r>
      <rPr>
        <sz val="9"/>
        <color rgb="FF000000"/>
        <rFont val="Calibri"/>
        <family val="2"/>
      </rPr>
      <t xml:space="preserve"> </t>
    </r>
    <r>
      <rPr>
        <sz val="9"/>
        <color rgb="FF000000"/>
        <rFont val="맑은 고딕"/>
        <family val="3"/>
        <charset val="129"/>
      </rPr>
      <t>값이</t>
    </r>
    <r>
      <rPr>
        <sz val="9"/>
        <color rgb="FF000000"/>
        <rFont val="Calibri"/>
        <family val="2"/>
      </rPr>
      <t xml:space="preserve"> </t>
    </r>
    <r>
      <rPr>
        <sz val="9"/>
        <color rgb="FF000000"/>
        <rFont val="맑은 고딕"/>
        <family val="3"/>
        <charset val="129"/>
      </rPr>
      <t>포함되어</t>
    </r>
    <r>
      <rPr>
        <sz val="9"/>
        <color rgb="FF000000"/>
        <rFont val="Calibri"/>
        <family val="2"/>
      </rPr>
      <t xml:space="preserve"> </t>
    </r>
    <r>
      <rPr>
        <sz val="9"/>
        <color rgb="FF000000"/>
        <rFont val="맑은 고딕"/>
        <family val="3"/>
        <charset val="129"/>
      </rPr>
      <t>있습니다</t>
    </r>
    <r>
      <rPr>
        <sz val="9"/>
        <color rgb="FF000000"/>
        <rFont val="Calibri"/>
        <family val="2"/>
      </rPr>
      <t>. Import</t>
    </r>
    <r>
      <rPr>
        <sz val="9"/>
        <color rgb="FF000000"/>
        <rFont val="맑은 고딕"/>
        <family val="3"/>
        <charset val="129"/>
      </rPr>
      <t>하는</t>
    </r>
    <r>
      <rPr>
        <sz val="9"/>
        <color rgb="FF000000"/>
        <rFont val="Calibri"/>
        <family val="2"/>
      </rPr>
      <t xml:space="preserve"> </t>
    </r>
    <r>
      <rPr>
        <sz val="9"/>
        <color rgb="FF000000"/>
        <rFont val="맑은 고딕"/>
        <family val="3"/>
        <charset val="129"/>
      </rPr>
      <t>파일의</t>
    </r>
    <r>
      <rPr>
        <sz val="9"/>
        <color rgb="FF000000"/>
        <rFont val="Calibri"/>
        <family val="2"/>
      </rPr>
      <t xml:space="preserve"> {}</t>
    </r>
    <r>
      <rPr>
        <sz val="9"/>
        <color rgb="FF000000"/>
        <rFont val="맑은 고딕"/>
        <family val="3"/>
        <charset val="129"/>
      </rPr>
      <t>행을</t>
    </r>
    <r>
      <rPr>
        <sz val="9"/>
        <color rgb="FF000000"/>
        <rFont val="Calibri"/>
        <family val="2"/>
      </rPr>
      <t xml:space="preserve"> </t>
    </r>
    <r>
      <rPr>
        <sz val="9"/>
        <color rgb="FF000000"/>
        <rFont val="맑은 고딕"/>
        <family val="3"/>
        <charset val="129"/>
      </rPr>
      <t>확인하세요</t>
    </r>
    <r>
      <rPr>
        <sz val="9"/>
        <color rgb="FF000000"/>
        <rFont val="Calibri"/>
        <family val="2"/>
      </rPr>
      <t>.</t>
    </r>
  </si>
  <si>
    <t>현재날짜까지 실제로 진행된 진척율, WBS의 "실적진척율"의 전체 합계 진척율을 표시함</t>
  </si>
  <si>
    <t>You selected {} areas. Please select only one area.</t>
  </si>
  <si>
    <r>
      <rPr>
        <sz val="9"/>
        <color rgb="FF000000"/>
        <rFont val="맑은 고딕"/>
        <family val="3"/>
        <charset val="129"/>
      </rPr>
      <t>현재날짜까지</t>
    </r>
    <r>
      <rPr>
        <sz val="9"/>
        <color rgb="FF000000"/>
        <rFont val="Calibri"/>
        <family val="2"/>
      </rPr>
      <t xml:space="preserve"> </t>
    </r>
    <r>
      <rPr>
        <sz val="9"/>
        <color rgb="FF000000"/>
        <rFont val="맑은 고딕"/>
        <family val="3"/>
        <charset val="129"/>
      </rPr>
      <t>실제로</t>
    </r>
    <r>
      <rPr>
        <sz val="9"/>
        <color rgb="FF000000"/>
        <rFont val="Calibri"/>
        <family val="2"/>
      </rPr>
      <t xml:space="preserve"> </t>
    </r>
    <r>
      <rPr>
        <sz val="9"/>
        <color rgb="FF000000"/>
        <rFont val="맑은 고딕"/>
        <family val="3"/>
        <charset val="129"/>
      </rPr>
      <t>진행된</t>
    </r>
    <r>
      <rPr>
        <sz val="9"/>
        <color rgb="FF000000"/>
        <rFont val="Calibri"/>
        <family val="2"/>
      </rPr>
      <t xml:space="preserve"> </t>
    </r>
    <r>
      <rPr>
        <sz val="9"/>
        <color rgb="FF000000"/>
        <rFont val="맑은 고딕"/>
        <family val="3"/>
        <charset val="129"/>
      </rPr>
      <t>진척율</t>
    </r>
    <r>
      <rPr>
        <sz val="9"/>
        <color rgb="FF000000"/>
        <rFont val="Calibri"/>
        <family val="2"/>
      </rPr>
      <t>, WBS</t>
    </r>
    <r>
      <rPr>
        <sz val="9"/>
        <color rgb="FF000000"/>
        <rFont val="맑은 고딕"/>
        <family val="3"/>
        <charset val="129"/>
      </rPr>
      <t>의</t>
    </r>
    <r>
      <rPr>
        <sz val="9"/>
        <color rgb="FF000000"/>
        <rFont val="Calibri"/>
        <family val="2"/>
      </rPr>
      <t xml:space="preserve"> "</t>
    </r>
    <r>
      <rPr>
        <sz val="9"/>
        <color rgb="FF000000"/>
        <rFont val="맑은 고딕"/>
        <family val="3"/>
        <charset val="129"/>
      </rPr>
      <t>실적진척율</t>
    </r>
    <r>
      <rPr>
        <sz val="9"/>
        <color rgb="FF000000"/>
        <rFont val="Calibri"/>
        <family val="2"/>
      </rPr>
      <t>"</t>
    </r>
    <r>
      <rPr>
        <sz val="9"/>
        <color rgb="FF000000"/>
        <rFont val="맑은 고딕"/>
        <family val="3"/>
        <charset val="129"/>
      </rPr>
      <t>의</t>
    </r>
    <r>
      <rPr>
        <sz val="9"/>
        <color rgb="FF000000"/>
        <rFont val="Calibri"/>
        <family val="2"/>
      </rPr>
      <t xml:space="preserve"> </t>
    </r>
    <r>
      <rPr>
        <sz val="9"/>
        <color rgb="FF000000"/>
        <rFont val="맑은 고딕"/>
        <family val="3"/>
        <charset val="129"/>
      </rPr>
      <t>전체</t>
    </r>
    <r>
      <rPr>
        <sz val="9"/>
        <color rgb="FF000000"/>
        <rFont val="Calibri"/>
        <family val="2"/>
      </rPr>
      <t xml:space="preserve"> </t>
    </r>
    <r>
      <rPr>
        <sz val="9"/>
        <color rgb="FF000000"/>
        <rFont val="맑은 고딕"/>
        <family val="3"/>
        <charset val="129"/>
      </rPr>
      <t>합계</t>
    </r>
    <r>
      <rPr>
        <sz val="9"/>
        <color rgb="FF000000"/>
        <rFont val="Calibri"/>
        <family val="2"/>
      </rPr>
      <t xml:space="preserve"> </t>
    </r>
    <r>
      <rPr>
        <sz val="9"/>
        <color rgb="FF000000"/>
        <rFont val="맑은 고딕"/>
        <family val="3"/>
        <charset val="129"/>
      </rPr>
      <t>진척율을</t>
    </r>
    <r>
      <rPr>
        <sz val="9"/>
        <color rgb="FF000000"/>
        <rFont val="Calibri"/>
        <family val="2"/>
      </rPr>
      <t xml:space="preserve"> </t>
    </r>
    <r>
      <rPr>
        <sz val="9"/>
        <color rgb="FF000000"/>
        <rFont val="맑은 고딕"/>
        <family val="3"/>
        <charset val="129"/>
      </rPr>
      <t>표시함</t>
    </r>
  </si>
  <si>
    <t>The format of the project start date is invalid.</t>
  </si>
  <si>
    <r>
      <rPr>
        <sz val="9"/>
        <color rgb="FF000000"/>
        <rFont val="맑은 고딕"/>
        <family val="3"/>
        <charset val="129"/>
      </rPr>
      <t>일정변경관리</t>
    </r>
    <r>
      <rPr>
        <sz val="9"/>
        <color rgb="FF000000"/>
        <rFont val="Calibri"/>
        <family val="2"/>
      </rPr>
      <t xml:space="preserve"> </t>
    </r>
    <r>
      <rPr>
        <sz val="9"/>
        <color rgb="FF000000"/>
        <rFont val="맑은 고딕"/>
        <family val="3"/>
        <charset val="129"/>
      </rPr>
      <t>하지</t>
    </r>
    <r>
      <rPr>
        <sz val="9"/>
        <color rgb="FF000000"/>
        <rFont val="Calibri"/>
        <family val="2"/>
      </rPr>
      <t xml:space="preserve"> </t>
    </r>
    <r>
      <rPr>
        <sz val="9"/>
        <color rgb="FF000000"/>
        <rFont val="맑은 고딕"/>
        <family val="3"/>
        <charset val="129"/>
      </rPr>
      <t>않을</t>
    </r>
    <r>
      <rPr>
        <sz val="9"/>
        <color rgb="FF000000"/>
        <rFont val="Calibri"/>
        <family val="2"/>
      </rPr>
      <t xml:space="preserve"> </t>
    </r>
    <r>
      <rPr>
        <sz val="9"/>
        <color rgb="FF000000"/>
        <rFont val="맑은 고딕"/>
        <family val="3"/>
        <charset val="129"/>
      </rPr>
      <t>때</t>
    </r>
    <r>
      <rPr>
        <sz val="9"/>
        <color rgb="FF000000"/>
        <rFont val="Calibri"/>
        <family val="2"/>
      </rPr>
      <t xml:space="preserve"> </t>
    </r>
    <r>
      <rPr>
        <sz val="9"/>
        <color rgb="FF000000"/>
        <rFont val="맑은 고딕"/>
        <family val="3"/>
        <charset val="129"/>
      </rPr>
      <t>현재까지</t>
    </r>
    <r>
      <rPr>
        <sz val="9"/>
        <color rgb="FF000000"/>
        <rFont val="Calibri"/>
        <family val="2"/>
      </rPr>
      <t xml:space="preserve"> </t>
    </r>
    <r>
      <rPr>
        <sz val="9"/>
        <color rgb="FF000000"/>
        <rFont val="맑은 고딕"/>
        <family val="3"/>
        <charset val="129"/>
      </rPr>
      <t>실제로</t>
    </r>
    <r>
      <rPr>
        <sz val="9"/>
        <color rgb="FF000000"/>
        <rFont val="Calibri"/>
        <family val="2"/>
      </rPr>
      <t xml:space="preserve"> </t>
    </r>
    <r>
      <rPr>
        <sz val="9"/>
        <color rgb="FF000000"/>
        <rFont val="맑은 고딕"/>
        <family val="3"/>
        <charset val="129"/>
      </rPr>
      <t>진행된</t>
    </r>
    <r>
      <rPr>
        <sz val="9"/>
        <color rgb="FF000000"/>
        <rFont val="Calibri"/>
        <family val="2"/>
      </rPr>
      <t xml:space="preserve"> </t>
    </r>
    <r>
      <rPr>
        <sz val="9"/>
        <color rgb="FF000000"/>
        <rFont val="맑은 고딕"/>
        <family val="3"/>
        <charset val="129"/>
      </rPr>
      <t>작업기간을</t>
    </r>
    <r>
      <rPr>
        <sz val="9"/>
        <color rgb="FF000000"/>
        <rFont val="Calibri"/>
        <family val="2"/>
      </rPr>
      <t xml:space="preserve"> </t>
    </r>
    <r>
      <rPr>
        <sz val="9"/>
        <color rgb="FF000000"/>
        <rFont val="맑은 고딕"/>
        <family val="3"/>
        <charset val="129"/>
      </rPr>
      <t>표시함</t>
    </r>
    <r>
      <rPr>
        <sz val="9"/>
        <color rgb="FF000000"/>
        <rFont val="Calibri"/>
        <family val="2"/>
      </rPr>
      <t>(</t>
    </r>
    <r>
      <rPr>
        <sz val="9"/>
        <color rgb="FF000000"/>
        <rFont val="맑은 고딕"/>
        <family val="3"/>
        <charset val="129"/>
      </rPr>
      <t>총기간</t>
    </r>
    <r>
      <rPr>
        <sz val="9"/>
        <color rgb="FF000000"/>
        <rFont val="Calibri"/>
        <family val="2"/>
      </rPr>
      <t xml:space="preserve"> x </t>
    </r>
    <r>
      <rPr>
        <sz val="9"/>
        <color rgb="FF000000"/>
        <rFont val="맑은 고딕"/>
        <family val="3"/>
        <charset val="129"/>
      </rPr>
      <t>총실적진행율</t>
    </r>
    <r>
      <rPr>
        <sz val="9"/>
        <color rgb="FF000000"/>
        <rFont val="Calibri"/>
        <family val="2"/>
      </rPr>
      <t>)</t>
    </r>
  </si>
  <si>
    <t>You can add "Outlook Tasks" only on the {} sheet.</t>
  </si>
  <si>
    <r>
      <rPr>
        <sz val="9"/>
        <color rgb="FF000000"/>
        <rFont val="맑은 고딕"/>
        <family val="3"/>
        <charset val="129"/>
      </rPr>
      <t>해당작업의</t>
    </r>
    <r>
      <rPr>
        <sz val="9"/>
        <color rgb="FF000000"/>
        <rFont val="Calibri"/>
        <family val="2"/>
      </rPr>
      <t xml:space="preserve"> </t>
    </r>
    <r>
      <rPr>
        <sz val="9"/>
        <color rgb="FF000000"/>
        <rFont val="맑은 고딕"/>
        <family val="3"/>
        <charset val="129"/>
      </rPr>
      <t>시작일부터</t>
    </r>
    <r>
      <rPr>
        <sz val="9"/>
        <color rgb="FF000000"/>
        <rFont val="Calibri"/>
        <family val="2"/>
      </rPr>
      <t xml:space="preserve"> </t>
    </r>
    <r>
      <rPr>
        <sz val="9"/>
        <color rgb="FF000000"/>
        <rFont val="맑은 고딕"/>
        <family val="3"/>
        <charset val="129"/>
      </rPr>
      <t>현재일까지의</t>
    </r>
    <r>
      <rPr>
        <sz val="9"/>
        <color rgb="FF000000"/>
        <rFont val="Calibri"/>
        <family val="2"/>
      </rPr>
      <t xml:space="preserve"> </t>
    </r>
    <r>
      <rPr>
        <sz val="9"/>
        <color rgb="FF000000"/>
        <rFont val="맑은 고딕"/>
        <family val="3"/>
        <charset val="129"/>
      </rPr>
      <t>작업기간을</t>
    </r>
    <r>
      <rPr>
        <sz val="9"/>
        <color rgb="FF000000"/>
        <rFont val="Calibri"/>
        <family val="2"/>
      </rPr>
      <t xml:space="preserve"> </t>
    </r>
    <r>
      <rPr>
        <sz val="9"/>
        <color rgb="FF000000"/>
        <rFont val="맑은 고딕"/>
        <family val="3"/>
        <charset val="129"/>
      </rPr>
      <t>의미함</t>
    </r>
    <r>
      <rPr>
        <sz val="9"/>
        <color rgb="FF000000"/>
        <rFont val="Calibri"/>
        <family val="2"/>
      </rPr>
      <t>(</t>
    </r>
    <r>
      <rPr>
        <sz val="9"/>
        <color rgb="FF000000"/>
        <rFont val="맑은 고딕"/>
        <family val="3"/>
        <charset val="129"/>
      </rPr>
      <t>현재</t>
    </r>
    <r>
      <rPr>
        <sz val="9"/>
        <color rgb="FF000000"/>
        <rFont val="Calibri"/>
        <family val="2"/>
      </rPr>
      <t xml:space="preserve"> </t>
    </r>
    <r>
      <rPr>
        <sz val="9"/>
        <color rgb="FF000000"/>
        <rFont val="맑은 고딕"/>
        <family val="3"/>
        <charset val="129"/>
      </rPr>
      <t>날짜까지</t>
    </r>
    <r>
      <rPr>
        <sz val="9"/>
        <color rgb="FF000000"/>
        <rFont val="Calibri"/>
        <family val="2"/>
      </rPr>
      <t xml:space="preserve"> </t>
    </r>
    <r>
      <rPr>
        <sz val="9"/>
        <color rgb="FF000000"/>
        <rFont val="맑은 고딕"/>
        <family val="3"/>
        <charset val="129"/>
      </rPr>
      <t>진행되었어야</t>
    </r>
    <r>
      <rPr>
        <sz val="9"/>
        <color rgb="FF000000"/>
        <rFont val="Calibri"/>
        <family val="2"/>
      </rPr>
      <t xml:space="preserve"> </t>
    </r>
    <r>
      <rPr>
        <sz val="9"/>
        <color rgb="FF000000"/>
        <rFont val="맑은 고딕"/>
        <family val="3"/>
        <charset val="129"/>
      </rPr>
      <t>할</t>
    </r>
    <r>
      <rPr>
        <sz val="9"/>
        <color rgb="FF000000"/>
        <rFont val="Calibri"/>
        <family val="2"/>
      </rPr>
      <t xml:space="preserve"> </t>
    </r>
    <r>
      <rPr>
        <sz val="9"/>
        <color rgb="FF000000"/>
        <rFont val="맑은 고딕"/>
        <family val="3"/>
        <charset val="129"/>
      </rPr>
      <t>기간</t>
    </r>
    <r>
      <rPr>
        <sz val="9"/>
        <color rgb="FF000000"/>
        <rFont val="Calibri"/>
        <family val="2"/>
      </rPr>
      <t>)</t>
    </r>
  </si>
  <si>
    <r>
      <rPr>
        <sz val="9"/>
        <color rgb="FF000000"/>
        <rFont val="맑은 고딕"/>
        <family val="3"/>
        <charset val="129"/>
      </rPr>
      <t>완료일자에</t>
    </r>
    <r>
      <rPr>
        <sz val="9"/>
        <color rgb="FF000000"/>
        <rFont val="Calibri"/>
        <family val="2"/>
      </rPr>
      <t xml:space="preserve"> </t>
    </r>
    <r>
      <rPr>
        <sz val="9"/>
        <color rgb="FF000000"/>
        <rFont val="맑은 고딕"/>
        <family val="3"/>
        <charset val="129"/>
      </rPr>
      <t>날짜가</t>
    </r>
    <r>
      <rPr>
        <sz val="9"/>
        <color rgb="FF000000"/>
        <rFont val="Calibri"/>
        <family val="2"/>
      </rPr>
      <t xml:space="preserve"> </t>
    </r>
    <r>
      <rPr>
        <sz val="9"/>
        <color rgb="FF000000"/>
        <rFont val="맑은 고딕"/>
        <family val="3"/>
        <charset val="129"/>
      </rPr>
      <t>아닌</t>
    </r>
    <r>
      <rPr>
        <sz val="9"/>
        <color rgb="FF000000"/>
        <rFont val="Calibri"/>
        <family val="2"/>
      </rPr>
      <t xml:space="preserve"> </t>
    </r>
    <r>
      <rPr>
        <sz val="9"/>
        <color rgb="FF000000"/>
        <rFont val="맑은 고딕"/>
        <family val="3"/>
        <charset val="129"/>
      </rPr>
      <t>값이</t>
    </r>
    <r>
      <rPr>
        <sz val="9"/>
        <color rgb="FF000000"/>
        <rFont val="Calibri"/>
        <family val="2"/>
      </rPr>
      <t xml:space="preserve"> </t>
    </r>
    <r>
      <rPr>
        <sz val="9"/>
        <color rgb="FF000000"/>
        <rFont val="맑은 고딕"/>
        <family val="3"/>
        <charset val="129"/>
      </rPr>
      <t>포함되어</t>
    </r>
    <r>
      <rPr>
        <sz val="9"/>
        <color rgb="FF000000"/>
        <rFont val="Calibri"/>
        <family val="2"/>
      </rPr>
      <t xml:space="preserve"> </t>
    </r>
    <r>
      <rPr>
        <sz val="9"/>
        <color rgb="FF000000"/>
        <rFont val="맑은 고딕"/>
        <family val="3"/>
        <charset val="129"/>
      </rPr>
      <t>있습니다</t>
    </r>
    <r>
      <rPr>
        <sz val="9"/>
        <color rgb="FF000000"/>
        <rFont val="Calibri"/>
        <family val="2"/>
      </rPr>
      <t>. Import</t>
    </r>
    <r>
      <rPr>
        <sz val="9"/>
        <color rgb="FF000000"/>
        <rFont val="맑은 고딕"/>
        <family val="3"/>
        <charset val="129"/>
      </rPr>
      <t>하는</t>
    </r>
    <r>
      <rPr>
        <sz val="9"/>
        <color rgb="FF000000"/>
        <rFont val="Calibri"/>
        <family val="2"/>
      </rPr>
      <t xml:space="preserve"> </t>
    </r>
    <r>
      <rPr>
        <sz val="9"/>
        <color rgb="FF000000"/>
        <rFont val="맑은 고딕"/>
        <family val="3"/>
        <charset val="129"/>
      </rPr>
      <t>파일의</t>
    </r>
    <r>
      <rPr>
        <sz val="9"/>
        <color rgb="FF000000"/>
        <rFont val="Calibri"/>
        <family val="2"/>
      </rPr>
      <t xml:space="preserve"> {}</t>
    </r>
    <r>
      <rPr>
        <sz val="9"/>
        <color rgb="FF000000"/>
        <rFont val="맑은 고딕"/>
        <family val="3"/>
        <charset val="129"/>
      </rPr>
      <t>행을</t>
    </r>
    <r>
      <rPr>
        <sz val="9"/>
        <color rgb="FF000000"/>
        <rFont val="Calibri"/>
        <family val="2"/>
      </rPr>
      <t xml:space="preserve"> </t>
    </r>
    <r>
      <rPr>
        <sz val="9"/>
        <color rgb="FF000000"/>
        <rFont val="맑은 고딕"/>
        <family val="3"/>
        <charset val="129"/>
      </rPr>
      <t>확인하세요</t>
    </r>
    <r>
      <rPr>
        <sz val="9"/>
        <color rgb="FF000000"/>
        <rFont val="Calibri"/>
        <family val="2"/>
      </rPr>
      <t>.</t>
    </r>
  </si>
  <si>
    <t>Please enter the path where deliverables are saved.</t>
  </si>
  <si>
    <t>Project Progress - When managing schedule changes</t>
  </si>
  <si>
    <t>Set program execution paths to open deliverables</t>
  </si>
  <si>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완료일이</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아닙니다</t>
    </r>
    <r>
      <rPr>
        <sz val="9"/>
        <color rgb="FF000000"/>
        <rFont val="Calibri"/>
        <family val="2"/>
      </rPr>
      <t xml:space="preserve">. </t>
    </r>
    <r>
      <rPr>
        <sz val="9"/>
        <color rgb="FF000000"/>
        <rFont val="맑은 고딕"/>
        <family val="3"/>
        <charset val="129"/>
      </rPr>
      <t>정확한</t>
    </r>
    <r>
      <rPr>
        <sz val="9"/>
        <color rgb="FF000000"/>
        <rFont val="Calibri"/>
        <family val="2"/>
      </rPr>
      <t xml:space="preserve"> </t>
    </r>
    <r>
      <rPr>
        <sz val="9"/>
        <color rgb="FF000000"/>
        <rFont val="맑은 고딕"/>
        <family val="3"/>
        <charset val="129"/>
      </rPr>
      <t>날짜형식으로</t>
    </r>
    <r>
      <rPr>
        <sz val="9"/>
        <color rgb="FF000000"/>
        <rFont val="Calibri"/>
        <family val="2"/>
      </rPr>
      <t xml:space="preserve"> </t>
    </r>
    <r>
      <rPr>
        <sz val="9"/>
        <color rgb="FF000000"/>
        <rFont val="맑은 고딕"/>
        <family val="3"/>
        <charset val="129"/>
      </rPr>
      <t>입력하세요</t>
    </r>
    <r>
      <rPr>
        <sz val="9"/>
        <color rgb="FF000000"/>
        <rFont val="Calibri"/>
        <family val="2"/>
      </rPr>
      <t>.</t>
    </r>
  </si>
  <si>
    <r>
      <t xml:space="preserve">{} </t>
    </r>
    <r>
      <rPr>
        <sz val="9"/>
        <color rgb="FF000000"/>
        <rFont val="맑은 고딕"/>
        <family val="3"/>
        <charset val="129"/>
      </rPr>
      <t>행의</t>
    </r>
    <r>
      <rPr>
        <sz val="9"/>
        <color rgb="FF000000"/>
        <rFont val="Calibri"/>
        <family val="2"/>
      </rPr>
      <t xml:space="preserve"> Level</t>
    </r>
    <r>
      <rPr>
        <sz val="9"/>
        <color rgb="FF000000"/>
        <rFont val="맑은 고딕"/>
        <family val="3"/>
        <charset val="129"/>
      </rPr>
      <t>이</t>
    </r>
    <r>
      <rPr>
        <sz val="9"/>
        <color rgb="FF000000"/>
        <rFont val="Calibri"/>
        <family val="2"/>
      </rPr>
      <t xml:space="preserve"> </t>
    </r>
    <r>
      <rPr>
        <sz val="9"/>
        <color rgb="FF000000"/>
        <rFont val="맑은 고딕"/>
        <family val="3"/>
        <charset val="129"/>
      </rPr>
      <t>맞지</t>
    </r>
    <r>
      <rPr>
        <sz val="9"/>
        <color rgb="FF000000"/>
        <rFont val="Calibri"/>
        <family val="2"/>
      </rPr>
      <t xml:space="preserve"> </t>
    </r>
    <r>
      <rPr>
        <sz val="9"/>
        <color rgb="FF000000"/>
        <rFont val="맑은 고딕"/>
        <family val="3"/>
        <charset val="129"/>
      </rPr>
      <t>않습니다</t>
    </r>
    <r>
      <rPr>
        <sz val="9"/>
        <color rgb="FF000000"/>
        <rFont val="Calibri"/>
        <family val="2"/>
      </rPr>
      <t>. Level</t>
    </r>
    <r>
      <rPr>
        <sz val="9"/>
        <color rgb="FF000000"/>
        <rFont val="맑은 고딕"/>
        <family val="3"/>
        <charset val="129"/>
      </rPr>
      <t>을</t>
    </r>
    <r>
      <rPr>
        <sz val="9"/>
        <color rgb="FF000000"/>
        <rFont val="Calibri"/>
        <family val="2"/>
      </rPr>
      <t xml:space="preserve"> 1</t>
    </r>
    <r>
      <rPr>
        <sz val="9"/>
        <color rgb="FF000000"/>
        <rFont val="맑은 고딕"/>
        <family val="3"/>
        <charset val="129"/>
      </rPr>
      <t>보다</t>
    </r>
    <r>
      <rPr>
        <sz val="9"/>
        <color rgb="FF000000"/>
        <rFont val="Calibri"/>
        <family val="2"/>
      </rPr>
      <t xml:space="preserve"> </t>
    </r>
    <r>
      <rPr>
        <sz val="9"/>
        <color rgb="FF000000"/>
        <rFont val="맑은 고딕"/>
        <family val="3"/>
        <charset val="129"/>
      </rPr>
      <t>크게</t>
    </r>
    <r>
      <rPr>
        <sz val="9"/>
        <color rgb="FF000000"/>
        <rFont val="Calibri"/>
        <family val="2"/>
      </rPr>
      <t xml:space="preserve"> </t>
    </r>
    <r>
      <rPr>
        <sz val="9"/>
        <color rgb="FF000000"/>
        <rFont val="맑은 고딕"/>
        <family val="3"/>
        <charset val="129"/>
      </rPr>
      <t>증가했는지</t>
    </r>
    <r>
      <rPr>
        <sz val="9"/>
        <color rgb="FF000000"/>
        <rFont val="Calibri"/>
        <family val="2"/>
      </rPr>
      <t xml:space="preserve"> </t>
    </r>
    <r>
      <rPr>
        <sz val="9"/>
        <color rgb="FF000000"/>
        <rFont val="맑은 고딕"/>
        <family val="3"/>
        <charset val="129"/>
      </rPr>
      <t>확인하세요</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</si>
  <si>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시작일이</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아닙니다</t>
    </r>
    <r>
      <rPr>
        <sz val="9"/>
        <color rgb="FF000000"/>
        <rFont val="Calibri"/>
        <family val="2"/>
      </rPr>
      <t xml:space="preserve">. </t>
    </r>
    <r>
      <rPr>
        <sz val="9"/>
        <color rgb="FF000000"/>
        <rFont val="맑은 고딕"/>
        <family val="3"/>
        <charset val="129"/>
      </rPr>
      <t>정확한</t>
    </r>
    <r>
      <rPr>
        <sz val="9"/>
        <color rgb="FF000000"/>
        <rFont val="Calibri"/>
        <family val="2"/>
      </rPr>
      <t xml:space="preserve"> </t>
    </r>
    <r>
      <rPr>
        <sz val="9"/>
        <color rgb="FF000000"/>
        <rFont val="맑은 고딕"/>
        <family val="3"/>
        <charset val="129"/>
      </rPr>
      <t>날짜형식으로</t>
    </r>
    <r>
      <rPr>
        <sz val="9"/>
        <color rgb="FF000000"/>
        <rFont val="Calibri"/>
        <family val="2"/>
      </rPr>
      <t xml:space="preserve"> </t>
    </r>
    <r>
      <rPr>
        <sz val="9"/>
        <color rgb="FF000000"/>
        <rFont val="맑은 고딕"/>
        <family val="3"/>
        <charset val="129"/>
      </rPr>
      <t>입력하세요</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</si>
  <si>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실젝</t>
    </r>
    <r>
      <rPr>
        <sz val="9"/>
        <color rgb="FF000000"/>
        <rFont val="Calibri"/>
        <family val="2"/>
      </rPr>
      <t xml:space="preserve"> </t>
    </r>
    <r>
      <rPr>
        <sz val="9"/>
        <color rgb="FF000000"/>
        <rFont val="맑은 고딕"/>
        <family val="3"/>
        <charset val="129"/>
      </rPr>
      <t>시작일</t>
    </r>
    <r>
      <rPr>
        <sz val="9"/>
        <color rgb="FF000000"/>
        <rFont val="Calibri"/>
        <family val="2"/>
      </rPr>
      <t xml:space="preserve"> </t>
    </r>
    <r>
      <rPr>
        <sz val="9"/>
        <color rgb="FF000000"/>
        <rFont val="맑은 고딕"/>
        <family val="3"/>
        <charset val="129"/>
      </rPr>
      <t>또는</t>
    </r>
    <r>
      <rPr>
        <sz val="9"/>
        <color rgb="FF000000"/>
        <rFont val="Calibri"/>
        <family val="2"/>
      </rPr>
      <t xml:space="preserve"> </t>
    </r>
    <r>
      <rPr>
        <sz val="9"/>
        <color rgb="FF000000"/>
        <rFont val="맑은 고딕"/>
        <family val="3"/>
        <charset val="129"/>
      </rPr>
      <t>완료일이</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기간을</t>
    </r>
    <r>
      <rPr>
        <sz val="9"/>
        <color rgb="FF000000"/>
        <rFont val="Calibri"/>
        <family val="2"/>
      </rPr>
      <t xml:space="preserve"> </t>
    </r>
    <r>
      <rPr>
        <sz val="9"/>
        <color rgb="FF000000"/>
        <rFont val="맑은 고딕"/>
        <family val="3"/>
        <charset val="129"/>
      </rPr>
      <t>벗어났습니다</t>
    </r>
    <r>
      <rPr>
        <sz val="9"/>
        <color rgb="FF000000"/>
        <rFont val="Calibri"/>
        <family val="2"/>
      </rPr>
      <t>.</t>
    </r>
  </si>
  <si>
    <t>1차 구현 계획</t>
  </si>
  <si>
    <t>1, 2차 구현 계획</t>
  </si>
  <si>
    <t>Daily view</t>
  </si>
  <si>
    <t>12/1/2018</t>
  </si>
  <si>
    <t>By Resource</t>
  </si>
  <si>
    <t>By Duration</t>
  </si>
  <si>
    <t>Weekly view</t>
  </si>
  <si>
    <r>
      <rPr>
        <sz val="9"/>
        <color rgb="FF000000"/>
        <rFont val="맑은 고딕"/>
        <family val="3"/>
        <charset val="129"/>
      </rPr>
      <t>산출물</t>
    </r>
    <r>
      <rPr>
        <sz val="9"/>
        <color rgb="FF000000"/>
        <rFont val="Calibri"/>
        <family val="2"/>
      </rPr>
      <t xml:space="preserve"> </t>
    </r>
    <r>
      <rPr>
        <sz val="9"/>
        <color rgb="FF000000"/>
        <rFont val="맑은 고딕"/>
        <family val="3"/>
        <charset val="129"/>
      </rPr>
      <t>필드입니다</t>
    </r>
    <r>
      <rPr>
        <sz val="9"/>
        <color rgb="FF000000"/>
        <rFont val="Calibri"/>
        <family val="2"/>
      </rPr>
      <t>.</t>
    </r>
  </si>
  <si>
    <t>New Version</t>
  </si>
  <si>
    <r>
      <rPr>
        <sz val="9"/>
        <color rgb="FF000000"/>
        <rFont val="맑은 고딕"/>
        <family val="3"/>
        <charset val="129"/>
      </rPr>
      <t>계획진척율</t>
    </r>
    <r>
      <rPr>
        <sz val="9"/>
        <color rgb="FF000000"/>
        <rFont val="Calibri"/>
        <family val="2"/>
      </rPr>
      <t xml:space="preserve"> </t>
    </r>
    <r>
      <rPr>
        <sz val="9"/>
        <color rgb="FF000000"/>
        <rFont val="맑은 고딕"/>
        <family val="3"/>
        <charset val="129"/>
      </rPr>
      <t>표시</t>
    </r>
  </si>
  <si>
    <r>
      <rPr>
        <sz val="9"/>
        <color rgb="FF000000"/>
        <rFont val="맑은 고딕"/>
        <family val="3"/>
        <charset val="129"/>
      </rPr>
      <t>실적진척율</t>
    </r>
    <r>
      <rPr>
        <sz val="9"/>
        <color rgb="FF000000"/>
        <rFont val="Calibri"/>
        <family val="2"/>
      </rPr>
      <t xml:space="preserve"> </t>
    </r>
    <r>
      <rPr>
        <sz val="9"/>
        <color rgb="FF000000"/>
        <rFont val="맑은 고딕"/>
        <family val="3"/>
        <charset val="129"/>
      </rPr>
      <t>표시</t>
    </r>
  </si>
  <si>
    <t xml:space="preserve">Duration </t>
  </si>
  <si>
    <r>
      <rPr>
        <sz val="9"/>
        <color rgb="FF000000"/>
        <rFont val="맑은 고딕"/>
        <family val="3"/>
        <charset val="129"/>
      </rPr>
      <t>언어를</t>
    </r>
    <r>
      <rPr>
        <sz val="9"/>
        <color rgb="FF000000"/>
        <rFont val="Calibri"/>
        <family val="2"/>
      </rPr>
      <t xml:space="preserve"> </t>
    </r>
    <r>
      <rPr>
        <sz val="9"/>
        <color rgb="FF000000"/>
        <rFont val="맑은 고딕"/>
        <family val="3"/>
        <charset val="129"/>
      </rPr>
      <t>선택하세요</t>
    </r>
  </si>
  <si>
    <r>
      <rPr>
        <sz val="9"/>
        <color rgb="FF000000"/>
        <rFont val="맑은 고딕"/>
        <family val="3"/>
        <charset val="129"/>
      </rPr>
      <t>추가</t>
    </r>
    <r>
      <rPr>
        <sz val="9"/>
        <color rgb="FF000000"/>
        <rFont val="Calibri"/>
        <family val="2"/>
      </rPr>
      <t xml:space="preserve"> </t>
    </r>
    <r>
      <rPr>
        <sz val="9"/>
        <color rgb="FF000000"/>
        <rFont val="맑은 고딕"/>
        <family val="3"/>
        <charset val="129"/>
      </rPr>
      <t>가능한</t>
    </r>
    <r>
      <rPr>
        <sz val="9"/>
        <color rgb="FF000000"/>
        <rFont val="Calibri"/>
        <family val="2"/>
      </rPr>
      <t xml:space="preserve"> </t>
    </r>
    <r>
      <rPr>
        <sz val="9"/>
        <color rgb="FF000000"/>
        <rFont val="맑은 고딕"/>
        <family val="3"/>
        <charset val="129"/>
      </rPr>
      <t>언어</t>
    </r>
  </si>
  <si>
    <r>
      <rPr>
        <sz val="9"/>
        <color rgb="FF000000"/>
        <rFont val="맑은 고딕"/>
        <family val="3"/>
        <charset val="129"/>
      </rPr>
      <t>휴무일로</t>
    </r>
    <r>
      <rPr>
        <sz val="9"/>
        <color rgb="FF000000"/>
        <rFont val="Calibri"/>
        <family val="2"/>
      </rPr>
      <t xml:space="preserve"> </t>
    </r>
    <r>
      <rPr>
        <sz val="9"/>
        <color rgb="FF000000"/>
        <rFont val="맑은 고딕"/>
        <family val="3"/>
        <charset val="129"/>
      </rPr>
      <t>계산되는</t>
    </r>
    <r>
      <rPr>
        <sz val="9"/>
        <color rgb="FF000000"/>
        <rFont val="Calibri"/>
        <family val="2"/>
      </rPr>
      <t xml:space="preserve"> </t>
    </r>
    <r>
      <rPr>
        <sz val="9"/>
        <color rgb="FF000000"/>
        <rFont val="맑은 고딕"/>
        <family val="3"/>
        <charset val="129"/>
      </rPr>
      <t>날</t>
    </r>
  </si>
  <si>
    <r>
      <rPr>
        <sz val="9"/>
        <color rgb="FF000000"/>
        <rFont val="맑은 고딕"/>
        <family val="3"/>
        <charset val="129"/>
      </rPr>
      <t>사용할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있는</t>
    </r>
    <r>
      <rPr>
        <sz val="9"/>
        <color rgb="FF000000"/>
        <rFont val="Calibri"/>
        <family val="2"/>
      </rPr>
      <t xml:space="preserve"> </t>
    </r>
    <r>
      <rPr>
        <sz val="9"/>
        <color rgb="FF000000"/>
        <rFont val="맑은 고딕"/>
        <family val="3"/>
        <charset val="129"/>
      </rPr>
      <t>언어</t>
    </r>
  </si>
  <si>
    <r>
      <rPr>
        <sz val="9"/>
        <color rgb="FF000000"/>
        <rFont val="맑은 고딕"/>
        <family val="3"/>
        <charset val="129"/>
      </rPr>
      <t>현재</t>
    </r>
    <r>
      <rPr>
        <sz val="9"/>
        <color rgb="FF000000"/>
        <rFont val="Calibri"/>
        <family val="2"/>
      </rPr>
      <t xml:space="preserve"> </t>
    </r>
    <r>
      <rPr>
        <sz val="9"/>
        <color rgb="FF000000"/>
        <rFont val="맑은 고딕"/>
        <family val="3"/>
        <charset val="129"/>
      </rPr>
      <t>사용중인</t>
    </r>
    <r>
      <rPr>
        <sz val="9"/>
        <color rgb="FF000000"/>
        <rFont val="Calibri"/>
        <family val="2"/>
      </rPr>
      <t xml:space="preserve"> </t>
    </r>
    <r>
      <rPr>
        <sz val="9"/>
        <color rgb="FF000000"/>
        <rFont val="맑은 고딕"/>
        <family val="3"/>
        <charset val="129"/>
      </rPr>
      <t>버전</t>
    </r>
  </si>
  <si>
    <r>
      <rPr>
        <sz val="9"/>
        <color rgb="FF000000"/>
        <rFont val="맑은 고딕"/>
        <family val="3"/>
        <charset val="129"/>
      </rPr>
      <t>프로그램</t>
    </r>
    <r>
      <rPr>
        <sz val="9"/>
        <color rgb="FF000000"/>
        <rFont val="Calibri"/>
        <family val="2"/>
      </rPr>
      <t xml:space="preserve"> </t>
    </r>
    <r>
      <rPr>
        <sz val="9"/>
        <color rgb="FF000000"/>
        <rFont val="맑은 고딕"/>
        <family val="3"/>
        <charset val="129"/>
      </rPr>
      <t>실행경로</t>
    </r>
  </si>
  <si>
    <r>
      <rPr>
        <sz val="9"/>
        <color rgb="FF000000"/>
        <rFont val="맑은 고딕"/>
        <family val="3"/>
        <charset val="129"/>
      </rPr>
      <t>일반</t>
    </r>
    <r>
      <rPr>
        <sz val="9"/>
        <color rgb="FF000000"/>
        <rFont val="Calibri"/>
        <family val="2"/>
      </rPr>
      <t xml:space="preserve"> Excel </t>
    </r>
    <r>
      <rPr>
        <sz val="9"/>
        <color rgb="FF000000"/>
        <rFont val="맑은 고딕"/>
        <family val="3"/>
        <charset val="129"/>
      </rPr>
      <t>파일</t>
    </r>
  </si>
  <si>
    <r>
      <rPr>
        <sz val="9"/>
        <color rgb="FF000000"/>
        <rFont val="맑은 고딕"/>
        <family val="3"/>
        <charset val="129"/>
      </rPr>
      <t>산출물</t>
    </r>
    <r>
      <rPr>
        <sz val="9"/>
        <color rgb="FF000000"/>
        <rFont val="Calibri"/>
        <family val="2"/>
      </rPr>
      <t xml:space="preserve"> </t>
    </r>
    <r>
      <rPr>
        <sz val="9"/>
        <color rgb="FF000000"/>
        <rFont val="맑은 고딕"/>
        <family val="3"/>
        <charset val="129"/>
      </rPr>
      <t>폴더</t>
    </r>
    <r>
      <rPr>
        <sz val="9"/>
        <color rgb="FF000000"/>
        <rFont val="Calibri"/>
        <family val="2"/>
      </rPr>
      <t xml:space="preserve"> </t>
    </r>
    <r>
      <rPr>
        <sz val="9"/>
        <color rgb="FF000000"/>
        <rFont val="맑은 고딕"/>
        <family val="3"/>
        <charset val="129"/>
      </rPr>
      <t>열기</t>
    </r>
  </si>
  <si>
    <r>
      <rPr>
        <sz val="9"/>
        <color rgb="FF000000"/>
        <rFont val="맑은 고딕"/>
        <family val="3"/>
        <charset val="129"/>
      </rPr>
      <t>진척율선</t>
    </r>
    <r>
      <rPr>
        <sz val="9"/>
        <color rgb="FF000000"/>
        <rFont val="Calibri"/>
        <family val="2"/>
      </rPr>
      <t xml:space="preserve"> </t>
    </r>
    <r>
      <rPr>
        <sz val="9"/>
        <color rgb="FF000000"/>
        <rFont val="맑은 고딕"/>
        <family val="3"/>
        <charset val="129"/>
      </rPr>
      <t>그리기</t>
    </r>
  </si>
  <si>
    <r>
      <rPr>
        <sz val="9"/>
        <color rgb="FF000000"/>
        <rFont val="맑은 고딕"/>
        <family val="3"/>
        <charset val="129"/>
      </rPr>
      <t>한주의</t>
    </r>
    <r>
      <rPr>
        <sz val="9"/>
        <color rgb="FF000000"/>
        <rFont val="Calibri"/>
        <family val="2"/>
      </rPr>
      <t xml:space="preserve"> </t>
    </r>
    <r>
      <rPr>
        <sz val="9"/>
        <color rgb="FF000000"/>
        <rFont val="맑은 고딕"/>
        <family val="3"/>
        <charset val="129"/>
      </rPr>
      <t>시작요일</t>
    </r>
  </si>
  <si>
    <r>
      <rPr>
        <sz val="9"/>
        <color rgb="FF000000"/>
        <rFont val="맑은 고딕"/>
        <family val="3"/>
        <charset val="129"/>
      </rPr>
      <t>계획진척율</t>
    </r>
    <r>
      <rPr>
        <sz val="9"/>
        <color rgb="FF000000"/>
        <rFont val="Calibri"/>
        <family val="2"/>
      </rPr>
      <t>(</t>
    </r>
    <r>
      <rPr>
        <sz val="9"/>
        <color rgb="FF000000"/>
        <rFont val="맑은 고딕"/>
        <family val="3"/>
        <charset val="129"/>
      </rPr>
      <t>주별</t>
    </r>
    <r>
      <rPr>
        <sz val="9"/>
        <color rgb="FF000000"/>
        <rFont val="Calibri"/>
        <family val="2"/>
      </rPr>
      <t>)</t>
    </r>
  </si>
  <si>
    <r>
      <rPr>
        <sz val="9"/>
        <color rgb="FF000000"/>
        <rFont val="맑은 고딕"/>
        <family val="3"/>
        <charset val="129"/>
      </rPr>
      <t>일정계획</t>
    </r>
    <r>
      <rPr>
        <sz val="9"/>
        <color rgb="FF000000"/>
        <rFont val="Calibri"/>
        <family val="2"/>
      </rPr>
      <t xml:space="preserve"> </t>
    </r>
    <r>
      <rPr>
        <sz val="9"/>
        <color rgb="FF000000"/>
        <rFont val="맑은 고딕"/>
        <family val="3"/>
        <charset val="129"/>
      </rPr>
      <t>변경관리</t>
    </r>
  </si>
  <si>
    <r>
      <rPr>
        <sz val="9"/>
        <color rgb="FF000000"/>
        <rFont val="맑은 고딕"/>
        <family val="3"/>
        <charset val="129"/>
      </rPr>
      <t>프로그램</t>
    </r>
    <r>
      <rPr>
        <sz val="9"/>
        <color rgb="FF000000"/>
        <rFont val="Calibri"/>
        <family val="2"/>
      </rPr>
      <t xml:space="preserve"> </t>
    </r>
    <r>
      <rPr>
        <sz val="9"/>
        <color rgb="FF000000"/>
        <rFont val="맑은 고딕"/>
        <family val="3"/>
        <charset val="129"/>
      </rPr>
      <t>사이트</t>
    </r>
  </si>
  <si>
    <r>
      <rPr>
        <sz val="9"/>
        <color rgb="FF000000"/>
        <rFont val="맑은 고딕"/>
        <family val="3"/>
        <charset val="129"/>
      </rPr>
      <t>계획</t>
    </r>
    <r>
      <rPr>
        <sz val="9"/>
        <color rgb="FF000000"/>
        <rFont val="Calibri"/>
        <family val="2"/>
      </rPr>
      <t xml:space="preserve"> </t>
    </r>
    <r>
      <rPr>
        <sz val="9"/>
        <color rgb="FF000000"/>
        <rFont val="맑은 고딕"/>
        <family val="3"/>
        <charset val="129"/>
      </rPr>
      <t>진척율</t>
    </r>
    <r>
      <rPr>
        <sz val="9"/>
        <color rgb="FF000000"/>
        <rFont val="Calibri"/>
        <family val="2"/>
      </rPr>
      <t>(A)</t>
    </r>
  </si>
  <si>
    <r>
      <rPr>
        <sz val="9"/>
        <color rgb="FF000000"/>
        <rFont val="맑은 고딕"/>
        <family val="3"/>
        <charset val="129"/>
      </rPr>
      <t>산출물</t>
    </r>
    <r>
      <rPr>
        <sz val="9"/>
        <color rgb="FF000000"/>
        <rFont val="Calibri"/>
        <family val="2"/>
      </rPr>
      <t xml:space="preserve"> </t>
    </r>
    <r>
      <rPr>
        <sz val="9"/>
        <color rgb="FF000000"/>
        <rFont val="맑은 고딕"/>
        <family val="3"/>
        <charset val="129"/>
      </rPr>
      <t>저장경로</t>
    </r>
  </si>
  <si>
    <r>
      <rPr>
        <sz val="9"/>
        <color rgb="FF000000"/>
        <rFont val="맑은 고딕"/>
        <family val="3"/>
        <charset val="129"/>
      </rPr>
      <t>실적</t>
    </r>
    <r>
      <rPr>
        <sz val="9"/>
        <color rgb="FF000000"/>
        <rFont val="Calibri"/>
        <family val="2"/>
      </rPr>
      <t xml:space="preserve"> </t>
    </r>
    <r>
      <rPr>
        <sz val="9"/>
        <color rgb="FF000000"/>
        <rFont val="맑은 고딕"/>
        <family val="3"/>
        <charset val="129"/>
      </rPr>
      <t>진척율</t>
    </r>
    <r>
      <rPr>
        <sz val="9"/>
        <color rgb="FF000000"/>
        <rFont val="Calibri"/>
        <family val="2"/>
      </rPr>
      <t>(B)</t>
    </r>
  </si>
  <si>
    <t>Analysis</t>
  </si>
  <si>
    <r>
      <rPr>
        <sz val="9"/>
        <color rgb="FF000000"/>
        <rFont val="맑은 고딕"/>
        <family val="3"/>
        <charset val="129"/>
      </rPr>
      <t>이번</t>
    </r>
    <r>
      <rPr>
        <sz val="9"/>
        <color rgb="FF000000"/>
        <rFont val="Calibri"/>
        <family val="2"/>
      </rPr>
      <t xml:space="preserve"> </t>
    </r>
    <r>
      <rPr>
        <sz val="9"/>
        <color rgb="FF000000"/>
        <rFont val="맑은 고딕"/>
        <family val="3"/>
        <charset val="129"/>
      </rPr>
      <t>주</t>
    </r>
    <r>
      <rPr>
        <sz val="9"/>
        <color rgb="FF000000"/>
        <rFont val="Calibri"/>
        <family val="2"/>
      </rPr>
      <t xml:space="preserve"> </t>
    </r>
    <r>
      <rPr>
        <sz val="9"/>
        <color rgb="FF000000"/>
        <rFont val="맑은 고딕"/>
        <family val="3"/>
        <charset val="129"/>
      </rPr>
      <t>작업만</t>
    </r>
    <r>
      <rPr>
        <sz val="9"/>
        <color rgb="FF000000"/>
        <rFont val="Calibri"/>
        <family val="2"/>
      </rPr>
      <t xml:space="preserve"> </t>
    </r>
    <r>
      <rPr>
        <sz val="9"/>
        <color rgb="FF000000"/>
        <rFont val="맑은 고딕"/>
        <family val="3"/>
        <charset val="129"/>
      </rPr>
      <t>조회</t>
    </r>
  </si>
  <si>
    <r>
      <rPr>
        <sz val="9"/>
        <color rgb="FF000000"/>
        <rFont val="맑은 고딕"/>
        <family val="3"/>
        <charset val="129"/>
      </rPr>
      <t>이번</t>
    </r>
    <r>
      <rPr>
        <sz val="9"/>
        <color rgb="FF000000"/>
        <rFont val="Calibri"/>
        <family val="2"/>
      </rPr>
      <t xml:space="preserve"> </t>
    </r>
    <r>
      <rPr>
        <sz val="9"/>
        <color rgb="FF000000"/>
        <rFont val="맑은 고딕"/>
        <family val="3"/>
        <charset val="129"/>
      </rPr>
      <t>달</t>
    </r>
    <r>
      <rPr>
        <sz val="9"/>
        <color rgb="FF000000"/>
        <rFont val="Calibri"/>
        <family val="2"/>
      </rPr>
      <t xml:space="preserve"> </t>
    </r>
    <r>
      <rPr>
        <sz val="9"/>
        <color rgb="FF000000"/>
        <rFont val="맑은 고딕"/>
        <family val="3"/>
        <charset val="129"/>
      </rPr>
      <t>작업만</t>
    </r>
    <r>
      <rPr>
        <sz val="9"/>
        <color rgb="FF000000"/>
        <rFont val="Calibri"/>
        <family val="2"/>
      </rPr>
      <t xml:space="preserve"> </t>
    </r>
    <r>
      <rPr>
        <sz val="9"/>
        <color rgb="FF000000"/>
        <rFont val="맑은 고딕"/>
        <family val="3"/>
        <charset val="129"/>
      </rPr>
      <t>조회</t>
    </r>
  </si>
  <si>
    <t>Man-Month</t>
  </si>
  <si>
    <t>Freeware</t>
  </si>
  <si>
    <r>
      <rPr>
        <sz val="9"/>
        <color rgb="FF000000"/>
        <rFont val="맑은 고딕"/>
        <family val="3"/>
        <charset val="129"/>
      </rPr>
      <t>프로젝트수행계획서</t>
    </r>
  </si>
  <si>
    <r>
      <rPr>
        <sz val="9"/>
        <color rgb="FF000000"/>
        <rFont val="맑은 고딕"/>
        <family val="3"/>
        <charset val="129"/>
      </rPr>
      <t>누적</t>
    </r>
    <r>
      <rPr>
        <sz val="9"/>
        <color rgb="FF000000"/>
        <rFont val="Calibri"/>
        <family val="2"/>
      </rPr>
      <t>\nMan-Day</t>
    </r>
  </si>
  <si>
    <t>yyyy/mm/dd</t>
  </si>
  <si>
    <r>
      <rPr>
        <sz val="9"/>
        <color rgb="FF000000"/>
        <rFont val="맑은 고딕"/>
        <family val="3"/>
        <charset val="129"/>
      </rPr>
      <t>실제</t>
    </r>
    <r>
      <rPr>
        <sz val="9"/>
        <color rgb="FF000000"/>
        <rFont val="Calibri"/>
        <family val="2"/>
      </rPr>
      <t xml:space="preserve"> </t>
    </r>
    <r>
      <rPr>
        <sz val="9"/>
        <color rgb="FF000000"/>
        <rFont val="맑은 고딕"/>
        <family val="3"/>
        <charset val="129"/>
      </rPr>
      <t>진행된</t>
    </r>
    <r>
      <rPr>
        <sz val="9"/>
        <color rgb="FF000000"/>
        <rFont val="Calibri"/>
        <family val="2"/>
      </rPr>
      <t xml:space="preserve"> </t>
    </r>
    <r>
      <rPr>
        <sz val="9"/>
        <color rgb="FF000000"/>
        <rFont val="맑은 고딕"/>
        <family val="3"/>
        <charset val="129"/>
      </rPr>
      <t>작업량</t>
    </r>
  </si>
  <si>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전체</t>
    </r>
    <r>
      <rPr>
        <sz val="9"/>
        <color rgb="FF000000"/>
        <rFont val="Calibri"/>
        <family val="2"/>
      </rPr>
      <t xml:space="preserve"> </t>
    </r>
    <r>
      <rPr>
        <sz val="9"/>
        <color rgb="FF000000"/>
        <rFont val="맑은 고딕"/>
        <family val="3"/>
        <charset val="129"/>
      </rPr>
      <t>작업량</t>
    </r>
  </si>
  <si>
    <r>
      <rPr>
        <sz val="9"/>
        <color rgb="FF000000"/>
        <rFont val="맑은 고딕"/>
        <family val="3"/>
        <charset val="129"/>
      </rPr>
      <t>실제</t>
    </r>
    <r>
      <rPr>
        <sz val="9"/>
        <color rgb="FF000000"/>
        <rFont val="Calibri"/>
        <family val="2"/>
      </rPr>
      <t>\n</t>
    </r>
    <r>
      <rPr>
        <sz val="9"/>
        <color rgb="FF000000"/>
        <rFont val="맑은 고딕"/>
        <family val="3"/>
        <charset val="129"/>
      </rPr>
      <t>총작업량</t>
    </r>
  </si>
  <si>
    <t>Reserved</t>
  </si>
  <si>
    <r>
      <rPr>
        <sz val="9"/>
        <color rgb="FF000000"/>
        <rFont val="맑은 고딕"/>
        <family val="3"/>
        <charset val="129"/>
      </rPr>
      <t>차이</t>
    </r>
    <r>
      <rPr>
        <sz val="9"/>
        <color rgb="FF000000"/>
        <rFont val="Calibri"/>
        <family val="2"/>
      </rPr>
      <t>(</t>
    </r>
    <r>
      <rPr>
        <sz val="9"/>
        <color rgb="FF000000"/>
        <rFont val="맑은 고딕"/>
        <family val="3"/>
        <charset val="129"/>
      </rPr>
      <t>실적</t>
    </r>
    <r>
      <rPr>
        <sz val="9"/>
        <color rgb="FF000000"/>
        <rFont val="Calibri"/>
        <family val="2"/>
      </rPr>
      <t>-</t>
    </r>
    <r>
      <rPr>
        <sz val="9"/>
        <color rgb="FF000000"/>
        <rFont val="맑은 고딕"/>
        <family val="3"/>
        <charset val="129"/>
      </rPr>
      <t>계획</t>
    </r>
    <r>
      <rPr>
        <sz val="9"/>
        <color rgb="FF000000"/>
        <rFont val="Calibri"/>
        <family val="2"/>
      </rPr>
      <t>)</t>
    </r>
  </si>
  <si>
    <r>
      <rPr>
        <sz val="9"/>
        <color rgb="FF000000"/>
        <rFont val="맑은 고딕"/>
        <family val="3"/>
        <charset val="129"/>
      </rPr>
      <t>사용자정의</t>
    </r>
    <r>
      <rPr>
        <sz val="9"/>
        <color rgb="FF000000"/>
        <rFont val="Calibri"/>
        <family val="2"/>
      </rPr>
      <t xml:space="preserve"> </t>
    </r>
    <r>
      <rPr>
        <sz val="9"/>
        <color rgb="FF000000"/>
        <rFont val="맑은 고딕"/>
        <family val="3"/>
        <charset val="129"/>
      </rPr>
      <t>캘린더</t>
    </r>
    <r>
      <rPr>
        <sz val="9"/>
        <color rgb="FF000000"/>
        <rFont val="Calibri"/>
        <family val="2"/>
      </rPr>
      <t>1</t>
    </r>
  </si>
  <si>
    <r>
      <rPr>
        <sz val="9"/>
        <color rgb="FF000000"/>
        <rFont val="맑은 고딕"/>
        <family val="3"/>
        <charset val="129"/>
      </rPr>
      <t>오늘</t>
    </r>
    <r>
      <rPr>
        <sz val="9"/>
        <color rgb="FF000000"/>
        <rFont val="Calibri"/>
        <family val="2"/>
      </rPr>
      <t xml:space="preserve"> </t>
    </r>
    <r>
      <rPr>
        <sz val="9"/>
        <color rgb="FF000000"/>
        <rFont val="맑은 고딕"/>
        <family val="3"/>
        <charset val="129"/>
      </rPr>
      <t>작업만</t>
    </r>
    <r>
      <rPr>
        <sz val="9"/>
        <color rgb="FF000000"/>
        <rFont val="Calibri"/>
        <family val="2"/>
      </rPr>
      <t xml:space="preserve"> </t>
    </r>
    <r>
      <rPr>
        <sz val="9"/>
        <color rgb="FF000000"/>
        <rFont val="맑은 고딕"/>
        <family val="3"/>
        <charset val="129"/>
      </rPr>
      <t>조회</t>
    </r>
  </si>
  <si>
    <t>프로젝트 범위정의</t>
  </si>
  <si>
    <r>
      <rPr>
        <sz val="9"/>
        <color rgb="FF000000"/>
        <rFont val="맑은 고딕"/>
        <family val="3"/>
        <charset val="129"/>
      </rPr>
      <t>사용자정의</t>
    </r>
    <r>
      <rPr>
        <sz val="9"/>
        <color rgb="FF000000"/>
        <rFont val="Calibri"/>
        <family val="2"/>
      </rPr>
      <t xml:space="preserve"> </t>
    </r>
    <r>
      <rPr>
        <sz val="9"/>
        <color rgb="FF000000"/>
        <rFont val="맑은 고딕"/>
        <family val="3"/>
        <charset val="129"/>
      </rPr>
      <t>캘린더</t>
    </r>
    <r>
      <rPr>
        <sz val="9"/>
        <color rgb="FF000000"/>
        <rFont val="Calibri"/>
        <family val="2"/>
      </rPr>
      <t>2</t>
    </r>
  </si>
  <si>
    <t>Description</t>
  </si>
  <si>
    <t>단위테스트시나리오작성</t>
  </si>
  <si>
    <t>Resources</t>
  </si>
  <si>
    <r>
      <rPr>
        <sz val="9"/>
        <color rgb="FF000000"/>
        <rFont val="돋움"/>
        <family val="3"/>
        <charset val="129"/>
      </rPr>
      <t>실제</t>
    </r>
    <r>
      <rPr>
        <sz val="9"/>
        <color rgb="FF000000"/>
        <rFont val="Calibri"/>
        <family val="2"/>
      </rPr>
      <t>__</t>
    </r>
    <r>
      <rPr>
        <sz val="9"/>
        <color rgb="FF000000"/>
        <rFont val="돋움"/>
        <family val="3"/>
        <charset val="129"/>
      </rPr>
      <t>총작업량</t>
    </r>
  </si>
  <si>
    <r>
      <rPr>
        <sz val="9"/>
        <color rgb="FF000000"/>
        <rFont val="돋움"/>
        <family val="3"/>
        <charset val="129"/>
      </rPr>
      <t>작업을</t>
    </r>
    <r>
      <rPr>
        <sz val="9"/>
        <color rgb="FF000000"/>
        <rFont val="Calibri"/>
        <family val="2"/>
      </rPr>
      <t xml:space="preserve"> </t>
    </r>
    <r>
      <rPr>
        <sz val="9"/>
        <color rgb="FF000000"/>
        <rFont val="돋움"/>
        <family val="3"/>
        <charset val="129"/>
      </rPr>
      <t>그룹으로</t>
    </r>
    <r>
      <rPr>
        <sz val="9"/>
        <color rgb="FF000000"/>
        <rFont val="Calibri"/>
        <family val="2"/>
      </rPr>
      <t xml:space="preserve"> </t>
    </r>
    <r>
      <rPr>
        <sz val="9"/>
        <color rgb="FF000000"/>
        <rFont val="돋움"/>
        <family val="3"/>
        <charset val="129"/>
      </rPr>
      <t>묶기</t>
    </r>
  </si>
  <si>
    <t>Group rows</t>
  </si>
  <si>
    <t>2.3.1.2.1.1</t>
  </si>
  <si>
    <t>2.3.1.2.1</t>
  </si>
  <si>
    <t>Text Index</t>
  </si>
  <si>
    <t>데이터베이스설계</t>
  </si>
  <si>
    <r>
      <rPr>
        <sz val="9"/>
        <color rgb="FF000000"/>
        <rFont val="맑은 고딕"/>
        <family val="3"/>
        <charset val="129"/>
      </rPr>
      <t>더</t>
    </r>
    <r>
      <rPr>
        <sz val="9"/>
        <color rgb="FF000000"/>
        <rFont val="Calibri"/>
        <family val="2"/>
      </rPr>
      <t xml:space="preserve"> </t>
    </r>
    <r>
      <rPr>
        <sz val="9"/>
        <color rgb="FF000000"/>
        <rFont val="맑은 고딕"/>
        <family val="3"/>
        <charset val="129"/>
      </rPr>
      <t>이상</t>
    </r>
    <r>
      <rPr>
        <sz val="9"/>
        <color rgb="FF000000"/>
        <rFont val="Calibri"/>
        <family val="2"/>
      </rPr>
      <t xml:space="preserve"> </t>
    </r>
    <r>
      <rPr>
        <sz val="9"/>
        <color rgb="FF000000"/>
        <rFont val="맑은 고딕"/>
        <family val="3"/>
        <charset val="129"/>
      </rPr>
      <t>입력불가</t>
    </r>
  </si>
  <si>
    <t>2.3.1.2.3</t>
  </si>
  <si>
    <t>2.3.1.2.2</t>
  </si>
  <si>
    <t>프로젝트 전체 작업량</t>
  </si>
  <si>
    <t>OOO 프로젝트</t>
  </si>
  <si>
    <t>[담당자미지정]</t>
  </si>
  <si>
    <t>사용자정의 캘린더2</t>
  </si>
  <si>
    <t>2.3.1.2.4</t>
  </si>
  <si>
    <t>Auto CAD</t>
  </si>
  <si>
    <r>
      <rPr>
        <sz val="9"/>
        <color rgb="FF000000"/>
        <rFont val="맑은 고딕"/>
        <family val="3"/>
        <charset val="129"/>
      </rPr>
      <t>토요일</t>
    </r>
    <r>
      <rPr>
        <sz val="9"/>
        <color rgb="FF000000"/>
        <rFont val="Calibri"/>
        <family val="2"/>
      </rPr>
      <t>,</t>
    </r>
    <r>
      <rPr>
        <sz val="9"/>
        <color rgb="FF000000"/>
        <rFont val="맑은 고딕"/>
        <family val="3"/>
        <charset val="129"/>
      </rPr>
      <t>일요일만</t>
    </r>
  </si>
  <si>
    <t>2.3.1.2.1.3</t>
  </si>
  <si>
    <t>계획 진척율(A)</t>
  </si>
  <si>
    <t>시스템테스트실시</t>
  </si>
  <si>
    <t>사용자정의 캘린더1</t>
  </si>
  <si>
    <t>데이터베이스구축</t>
  </si>
  <si>
    <t>Total__Work</t>
  </si>
  <si>
    <t>계획진척율(주별)</t>
  </si>
  <si>
    <t>더 이상 입력불가</t>
  </si>
  <si>
    <t>누적
Man-Day</t>
  </si>
  <si>
    <t>실제 진행된 작업량</t>
  </si>
  <si>
    <t>Progress</t>
  </si>
  <si>
    <t>2.3.1.2.1.2</t>
  </si>
  <si>
    <t>Powerpoint</t>
  </si>
  <si>
    <t>Mapping &gt;&gt;</t>
  </si>
  <si>
    <t>실적 진척율(B)</t>
  </si>
  <si>
    <t>Finish Date</t>
  </si>
  <si>
    <t>Start Date</t>
  </si>
  <si>
    <t>Total\nWork</t>
  </si>
  <si>
    <t>Job Results</t>
  </si>
  <si>
    <t>Today only</t>
  </si>
  <si>
    <t>Language</t>
  </si>
  <si>
    <t>Filter Task</t>
  </si>
  <si>
    <t>UI Design</t>
  </si>
  <si>
    <t>mm/dd/yyyy</t>
  </si>
  <si>
    <t>Task Name</t>
  </si>
  <si>
    <t>Edit a Task</t>
  </si>
  <si>
    <t>Extension</t>
  </si>
  <si>
    <t>AUTHOR_NAME</t>
  </si>
  <si>
    <t>mmmm yyyy</t>
  </si>
  <si>
    <t>Pick a Date</t>
  </si>
  <si>
    <t>프로젝트 계획 수립</t>
  </si>
  <si>
    <t>resource</t>
  </si>
  <si>
    <t>workload</t>
  </si>
  <si>
    <t>12/31/2018</t>
  </si>
  <si>
    <t>시스템 인수인계</t>
  </si>
  <si>
    <t>Indent Task</t>
  </si>
  <si>
    <t>Contains</t>
  </si>
  <si>
    <t>Settings</t>
  </si>
  <si>
    <t xml:space="preserve">Percent </t>
  </si>
  <si>
    <r>
      <rPr>
        <sz val="9"/>
        <color rgb="FF000000"/>
        <rFont val="맑은 고딕"/>
        <family val="3"/>
        <charset val="129"/>
      </rPr>
      <t>실제완료일의</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</si>
  <si>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r>
      <rPr>
        <sz val="9"/>
        <color rgb="FF000000"/>
        <rFont val="맑은 고딕"/>
        <family val="3"/>
        <charset val="129"/>
      </rPr>
      <t>가져올</t>
    </r>
    <r>
      <rPr>
        <sz val="9"/>
        <color rgb="FF000000"/>
        <rFont val="Calibri"/>
        <family val="2"/>
      </rPr>
      <t xml:space="preserve"> </t>
    </r>
    <r>
      <rPr>
        <sz val="9"/>
        <color rgb="FF000000"/>
        <rFont val="맑은 고딕"/>
        <family val="3"/>
        <charset val="129"/>
      </rPr>
      <t>파일을</t>
    </r>
    <r>
      <rPr>
        <sz val="9"/>
        <color rgb="FF000000"/>
        <rFont val="Calibri"/>
        <family val="2"/>
      </rPr>
      <t xml:space="preserve"> </t>
    </r>
    <r>
      <rPr>
        <sz val="9"/>
        <color rgb="FF000000"/>
        <rFont val="맑은 고딕"/>
        <family val="3"/>
        <charset val="129"/>
      </rPr>
      <t>선택하세요</t>
    </r>
    <r>
      <rPr>
        <sz val="9"/>
        <color rgb="FF000000"/>
        <rFont val="Calibri"/>
        <family val="2"/>
      </rPr>
      <t>(</t>
    </r>
    <r>
      <rPr>
        <sz val="9"/>
        <color rgb="FF000000"/>
        <rFont val="맑은 고딕"/>
        <family val="3"/>
        <charset val="129"/>
      </rPr>
      <t>다중선택가능</t>
    </r>
    <r>
      <rPr>
        <sz val="9"/>
        <color rgb="FF000000"/>
        <rFont val="Calibri"/>
        <family val="2"/>
      </rPr>
      <t>)</t>
    </r>
  </si>
  <si>
    <r>
      <rPr>
        <sz val="9"/>
        <color rgb="FF000000"/>
        <rFont val="맑은 고딕"/>
        <family val="3"/>
        <charset val="129"/>
      </rPr>
      <t>실제시작일의</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</si>
  <si>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r>
      <rPr>
        <sz val="9"/>
        <color rgb="FF000000"/>
        <rFont val="맑은 고딕"/>
        <family val="3"/>
        <charset val="129"/>
      </rPr>
      <t>산출물명</t>
    </r>
    <r>
      <rPr>
        <sz val="9"/>
        <color rgb="FF000000"/>
        <rFont val="Calibri"/>
        <family val="2"/>
      </rPr>
      <t xml:space="preserve"> </t>
    </r>
    <r>
      <rPr>
        <sz val="9"/>
        <color rgb="FF000000"/>
        <rFont val="맑은 고딕"/>
        <family val="3"/>
        <charset val="129"/>
      </rPr>
      <t>비었을때</t>
    </r>
    <r>
      <rPr>
        <sz val="9"/>
        <color rgb="FF000000"/>
        <rFont val="Calibri"/>
        <family val="2"/>
      </rPr>
      <t>\n</t>
    </r>
    <r>
      <rPr>
        <sz val="9"/>
        <color rgb="FF000000"/>
        <rFont val="맑은 고딕"/>
        <family val="3"/>
        <charset val="129"/>
      </rPr>
      <t>선택목록에</t>
    </r>
    <r>
      <rPr>
        <sz val="9"/>
        <color rgb="FF000000"/>
        <rFont val="Calibri"/>
        <family val="2"/>
      </rPr>
      <t xml:space="preserve"> </t>
    </r>
    <r>
      <rPr>
        <sz val="9"/>
        <color rgb="FF000000"/>
        <rFont val="맑은 고딕"/>
        <family val="3"/>
        <charset val="129"/>
      </rPr>
      <t>포함</t>
    </r>
    <r>
      <rPr>
        <sz val="9"/>
        <color rgb="FF000000"/>
        <rFont val="Calibri"/>
        <family val="2"/>
      </rPr>
      <t>\n</t>
    </r>
    <r>
      <rPr>
        <sz val="9"/>
        <color rgb="FF000000"/>
        <rFont val="맑은 고딕"/>
        <family val="3"/>
        <charset val="129"/>
      </rPr>
      <t>여부</t>
    </r>
  </si>
  <si>
    <t>화면 디자인 초안 제작 후 코딩으로 구현</t>
  </si>
  <si>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진행율</t>
    </r>
    <r>
      <rPr>
        <sz val="9"/>
        <color rgb="FF000000"/>
        <rFont val="Calibri"/>
        <family val="2"/>
      </rPr>
      <t xml:space="preserve"> - </t>
    </r>
    <r>
      <rPr>
        <sz val="9"/>
        <color rgb="FF000000"/>
        <rFont val="맑은 고딕"/>
        <family val="3"/>
        <charset val="129"/>
      </rPr>
      <t>일정변경</t>
    </r>
    <r>
      <rPr>
        <sz val="9"/>
        <color rgb="FF000000"/>
        <rFont val="Calibri"/>
        <family val="2"/>
      </rPr>
      <t xml:space="preserve"> </t>
    </r>
    <r>
      <rPr>
        <sz val="9"/>
        <color rgb="FF000000"/>
        <rFont val="맑은 고딕"/>
        <family val="3"/>
        <charset val="129"/>
      </rPr>
      <t>관리할때</t>
    </r>
  </si>
  <si>
    <t>설계 문서 작성, Flow chart 구성</t>
  </si>
  <si>
    <r>
      <rPr>
        <sz val="9"/>
        <color rgb="FF000000"/>
        <rFont val="맑은 고딕"/>
        <family val="3"/>
        <charset val="129"/>
      </rPr>
      <t>더</t>
    </r>
    <r>
      <rPr>
        <sz val="9"/>
        <color rgb="FF000000"/>
        <rFont val="Calibri"/>
        <family val="2"/>
      </rPr>
      <t xml:space="preserve"> </t>
    </r>
    <r>
      <rPr>
        <sz val="9"/>
        <color rgb="FF000000"/>
        <rFont val="맑은 고딕"/>
        <family val="3"/>
        <charset val="129"/>
      </rPr>
      <t>이상</t>
    </r>
    <r>
      <rPr>
        <sz val="9"/>
        <color rgb="FF000000"/>
        <rFont val="Calibri"/>
        <family val="2"/>
      </rPr>
      <t xml:space="preserve"> </t>
    </r>
    <r>
      <rPr>
        <sz val="9"/>
        <color rgb="FF000000"/>
        <rFont val="맑은 고딕"/>
        <family val="3"/>
        <charset val="129"/>
      </rPr>
      <t>왼쪽으로</t>
    </r>
    <r>
      <rPr>
        <sz val="9"/>
        <color rgb="FF000000"/>
        <rFont val="Calibri"/>
        <family val="2"/>
      </rPr>
      <t xml:space="preserve"> </t>
    </r>
    <r>
      <rPr>
        <sz val="9"/>
        <color rgb="FF000000"/>
        <rFont val="맑은 고딕"/>
        <family val="3"/>
        <charset val="129"/>
      </rPr>
      <t>이동할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</si>
  <si>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작업이</t>
    </r>
    <r>
      <rPr>
        <sz val="9"/>
        <color rgb="FF000000"/>
        <rFont val="Calibri"/>
        <family val="2"/>
      </rPr>
      <t xml:space="preserve"> </t>
    </r>
    <r>
      <rPr>
        <sz val="9"/>
        <color rgb="FF000000"/>
        <rFont val="맑은 고딕"/>
        <family val="3"/>
        <charset val="129"/>
      </rPr>
      <t>정상적으로</t>
    </r>
    <r>
      <rPr>
        <sz val="9"/>
        <color rgb="FF000000"/>
        <rFont val="Calibri"/>
        <family val="2"/>
      </rPr>
      <t xml:space="preserve"> </t>
    </r>
    <r>
      <rPr>
        <sz val="9"/>
        <color rgb="FF000000"/>
        <rFont val="맑은 고딕"/>
        <family val="3"/>
        <charset val="129"/>
      </rPr>
      <t>완료되지</t>
    </r>
    <r>
      <rPr>
        <sz val="9"/>
        <color rgb="FF000000"/>
        <rFont val="Calibri"/>
        <family val="2"/>
      </rPr>
      <t xml:space="preserve"> </t>
    </r>
    <r>
      <rPr>
        <sz val="9"/>
        <color rgb="FF000000"/>
        <rFont val="맑은 고딕"/>
        <family val="3"/>
        <charset val="129"/>
      </rPr>
      <t>않았습니다</t>
    </r>
    <r>
      <rPr>
        <sz val="9"/>
        <color rgb="FF000000"/>
        <rFont val="Calibri"/>
        <family val="2"/>
      </rPr>
      <t>.</t>
    </r>
  </si>
  <si>
    <r>
      <rPr>
        <sz val="9"/>
        <color rgb="FF000000"/>
        <rFont val="맑은 고딕"/>
        <family val="3"/>
        <charset val="129"/>
      </rPr>
      <t>산출물이</t>
    </r>
    <r>
      <rPr>
        <sz val="9"/>
        <color rgb="FF000000"/>
        <rFont val="Calibri"/>
        <family val="2"/>
      </rPr>
      <t xml:space="preserve"> </t>
    </r>
    <r>
      <rPr>
        <sz val="9"/>
        <color rgb="FF000000"/>
        <rFont val="맑은 고딕"/>
        <family val="3"/>
        <charset val="129"/>
      </rPr>
      <t>저장될</t>
    </r>
    <r>
      <rPr>
        <sz val="9"/>
        <color rgb="FF000000"/>
        <rFont val="Calibri"/>
        <family val="2"/>
      </rPr>
      <t xml:space="preserve"> </t>
    </r>
    <r>
      <rPr>
        <sz val="9"/>
        <color rgb="FF000000"/>
        <rFont val="맑은 고딕"/>
        <family val="3"/>
        <charset val="129"/>
      </rPr>
      <t>특정경로를</t>
    </r>
    <r>
      <rPr>
        <sz val="9"/>
        <color rgb="FF000000"/>
        <rFont val="Calibri"/>
        <family val="2"/>
      </rPr>
      <t xml:space="preserve"> </t>
    </r>
    <r>
      <rPr>
        <sz val="9"/>
        <color rgb="FF000000"/>
        <rFont val="맑은 고딕"/>
        <family val="3"/>
        <charset val="129"/>
      </rPr>
      <t>입력하세요</t>
    </r>
    <r>
      <rPr>
        <sz val="9"/>
        <color rgb="FF000000"/>
        <rFont val="Calibri"/>
        <family val="2"/>
      </rPr>
      <t>.</t>
    </r>
  </si>
  <si>
    <r>
      <rPr>
        <sz val="9"/>
        <color rgb="FF000000"/>
        <rFont val="맑은 고딕"/>
        <family val="3"/>
        <charset val="129"/>
      </rPr>
      <t>더</t>
    </r>
    <r>
      <rPr>
        <sz val="9"/>
        <color rgb="FF000000"/>
        <rFont val="Calibri"/>
        <family val="2"/>
      </rPr>
      <t xml:space="preserve"> </t>
    </r>
    <r>
      <rPr>
        <sz val="9"/>
        <color rgb="FF000000"/>
        <rFont val="맑은 고딕"/>
        <family val="3"/>
        <charset val="129"/>
      </rPr>
      <t>이상</t>
    </r>
    <r>
      <rPr>
        <sz val="9"/>
        <color rgb="FF000000"/>
        <rFont val="Calibri"/>
        <family val="2"/>
      </rPr>
      <t xml:space="preserve"> </t>
    </r>
    <r>
      <rPr>
        <sz val="9"/>
        <color rgb="FF000000"/>
        <rFont val="맑은 고딕"/>
        <family val="3"/>
        <charset val="129"/>
      </rPr>
      <t>오른쪽으로</t>
    </r>
    <r>
      <rPr>
        <sz val="9"/>
        <color rgb="FF000000"/>
        <rFont val="Calibri"/>
        <family val="2"/>
      </rPr>
      <t xml:space="preserve"> </t>
    </r>
    <r>
      <rPr>
        <sz val="9"/>
        <color rgb="FF000000"/>
        <rFont val="맑은 고딕"/>
        <family val="3"/>
        <charset val="129"/>
      </rPr>
      <t>이동할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</si>
  <si>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스케줄업데이트</t>
    </r>
    <r>
      <rPr>
        <sz val="9"/>
        <color rgb="FF000000"/>
        <rFont val="Calibri"/>
        <family val="2"/>
      </rPr>
      <t xml:space="preserve"> </t>
    </r>
    <r>
      <rPr>
        <sz val="9"/>
        <color rgb="FF000000"/>
        <rFont val="맑은 고딕"/>
        <family val="3"/>
        <charset val="129"/>
      </rPr>
      <t>작업이</t>
    </r>
    <r>
      <rPr>
        <sz val="9"/>
        <color rgb="FF000000"/>
        <rFont val="Calibri"/>
        <family val="2"/>
      </rPr>
      <t xml:space="preserve"> </t>
    </r>
    <r>
      <rPr>
        <sz val="9"/>
        <color rgb="FF000000"/>
        <rFont val="맑은 고딕"/>
        <family val="3"/>
        <charset val="129"/>
      </rPr>
      <t>완료되었습니다</t>
    </r>
    <r>
      <rPr>
        <sz val="9"/>
        <color rgb="FF000000"/>
        <rFont val="Calibri"/>
        <family val="2"/>
      </rPr>
      <t>.</t>
    </r>
  </si>
  <si>
    <r>
      <rPr>
        <sz val="9"/>
        <color rgb="FF000000"/>
        <rFont val="맑은 고딕"/>
        <family val="3"/>
        <charset val="129"/>
      </rPr>
      <t>작업완료일의</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</si>
  <si>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r>
      <rPr>
        <sz val="9"/>
        <color rgb="FF000000"/>
        <rFont val="맑은 고딕"/>
        <family val="3"/>
        <charset val="129"/>
      </rPr>
      <t>선택한</t>
    </r>
    <r>
      <rPr>
        <sz val="9"/>
        <color rgb="FF000000"/>
        <rFont val="Calibri"/>
        <family val="2"/>
      </rPr>
      <t xml:space="preserve"> </t>
    </r>
    <r>
      <rPr>
        <sz val="9"/>
        <color rgb="FF000000"/>
        <rFont val="맑은 고딕"/>
        <family val="3"/>
        <charset val="129"/>
      </rPr>
      <t>위치에서는</t>
    </r>
    <r>
      <rPr>
        <sz val="9"/>
        <color rgb="FF000000"/>
        <rFont val="Calibri"/>
        <family val="2"/>
      </rPr>
      <t xml:space="preserve"> </t>
    </r>
    <r>
      <rPr>
        <sz val="9"/>
        <color rgb="FF000000"/>
        <rFont val="맑은 고딕"/>
        <family val="3"/>
        <charset val="129"/>
      </rPr>
      <t>이동할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</si>
  <si>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오류</t>
    </r>
    <r>
      <rPr>
        <sz val="9"/>
        <color rgb="FF000000"/>
        <rFont val="Calibri"/>
        <family val="2"/>
      </rPr>
      <t xml:space="preserve">, </t>
    </r>
    <r>
      <rPr>
        <sz val="9"/>
        <color rgb="FF000000"/>
        <rFont val="맑은 고딕"/>
        <family val="3"/>
        <charset val="129"/>
      </rPr>
      <t>지정할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없는</t>
    </r>
    <r>
      <rPr>
        <sz val="9"/>
        <color rgb="FF000000"/>
        <rFont val="Calibri"/>
        <family val="2"/>
      </rPr>
      <t xml:space="preserve"> </t>
    </r>
    <r>
      <rPr>
        <sz val="9"/>
        <color rgb="FF000000"/>
        <rFont val="맑은 고딕"/>
        <family val="3"/>
        <charset val="129"/>
      </rPr>
      <t>필드가</t>
    </r>
    <r>
      <rPr>
        <sz val="9"/>
        <color rgb="FF000000"/>
        <rFont val="Calibri"/>
        <family val="2"/>
      </rPr>
      <t xml:space="preserve"> </t>
    </r>
    <r>
      <rPr>
        <sz val="9"/>
        <color rgb="FF000000"/>
        <rFont val="맑은 고딕"/>
        <family val="3"/>
        <charset val="129"/>
      </rPr>
      <t>있습니다</t>
    </r>
  </si>
  <si>
    <r>
      <rPr>
        <sz val="9"/>
        <color rgb="FF000000"/>
        <rFont val="맑은 고딕"/>
        <family val="3"/>
        <charset val="129"/>
      </rPr>
      <t>작업시작일의</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</si>
  <si>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r>
      <rPr>
        <sz val="9"/>
        <color rgb="FF000000"/>
        <rFont val="맑은 고딕"/>
        <family val="3"/>
        <charset val="129"/>
      </rPr>
      <t>다음</t>
    </r>
    <r>
      <rPr>
        <sz val="9"/>
        <color rgb="FF000000"/>
        <rFont val="Calibri"/>
        <family val="2"/>
      </rPr>
      <t xml:space="preserve"> </t>
    </r>
    <r>
      <rPr>
        <sz val="9"/>
        <color rgb="FF000000"/>
        <rFont val="맑은 고딕"/>
        <family val="3"/>
        <charset val="129"/>
      </rPr>
      <t>파일을</t>
    </r>
    <r>
      <rPr>
        <sz val="9"/>
        <color rgb="FF000000"/>
        <rFont val="Calibri"/>
        <family val="2"/>
      </rPr>
      <t xml:space="preserve"> </t>
    </r>
    <r>
      <rPr>
        <sz val="9"/>
        <color rgb="FF000000"/>
        <rFont val="맑은 고딕"/>
        <family val="3"/>
        <charset val="129"/>
      </rPr>
      <t>성공적으로</t>
    </r>
    <r>
      <rPr>
        <sz val="9"/>
        <color rgb="FF000000"/>
        <rFont val="Calibri"/>
        <family val="2"/>
      </rPr>
      <t xml:space="preserve"> </t>
    </r>
    <r>
      <rPr>
        <sz val="9"/>
        <color rgb="FF000000"/>
        <rFont val="맑은 고딕"/>
        <family val="3"/>
        <charset val="129"/>
      </rPr>
      <t>가져왔습니다</t>
    </r>
    <r>
      <rPr>
        <sz val="9"/>
        <color rgb="FF000000"/>
        <rFont val="Calibri"/>
        <family val="2"/>
      </rPr>
      <t>.</t>
    </r>
  </si>
  <si>
    <t>Total Work(A)\nMan-day</t>
  </si>
  <si>
    <t>Not Completed(&lt;&gt;100%)</t>
  </si>
  <si>
    <t>The type of task fields</t>
  </si>
  <si>
    <t>Actual\nTotal Duration</t>
  </si>
  <si>
    <t>Project Execution Plan</t>
  </si>
  <si>
    <t>XLGantt Version Check</t>
  </si>
  <si>
    <t>Name:projectStartDate</t>
  </si>
  <si>
    <t>[Resources unspecified]</t>
  </si>
  <si>
    <t>Name:chkDeliverablesMgt</t>
  </si>
  <si>
    <t>Name:optFirstDayOfWeek</t>
  </si>
  <si>
    <t>User Defined Calendar 2</t>
  </si>
  <si>
    <t>Worloads by Resources</t>
  </si>
  <si>
    <t>Schedule Variance(B-A)</t>
  </si>
  <si>
    <t>Name:plannedRateDisp</t>
  </si>
  <si>
    <t>Progresses by Resources</t>
  </si>
  <si>
    <t>Planned\n%Work Complete</t>
  </si>
  <si>
    <t>Finish date is invalid.</t>
  </si>
  <si>
    <t>Workload\n(Man-Month)</t>
  </si>
  <si>
    <t>Gantt Chart View Style</t>
  </si>
  <si>
    <t>There is no input data.</t>
  </si>
  <si>
    <t>Gantt Chart Zoom Ratio</t>
  </si>
  <si>
    <t>Workloads by Resouces</t>
  </si>
  <si>
    <t>From (File to import )</t>
  </si>
  <si>
    <t>Automatically defined</t>
  </si>
  <si>
    <t>Start date is invalid.</t>
  </si>
  <si>
    <t>From Date is invalid.</t>
  </si>
  <si>
    <t>Name of Nonworking Days</t>
  </si>
  <si>
    <t>Accumulated\nMan-Day</t>
  </si>
  <si>
    <t>{} file does not exist.</t>
  </si>
  <si>
    <t>Actual Total\nDuration</t>
  </si>
  <si>
    <t>Add to MS Outlook Task</t>
  </si>
  <si>
    <t>Actual Total__Duration</t>
  </si>
  <si>
    <t>Name:optNonWorkingDays</t>
  </si>
  <si>
    <t>Actual__Total Duration</t>
  </si>
  <si>
    <t>There is no input data</t>
  </si>
  <si>
    <t>Planned__%Work Complete</t>
  </si>
  <si>
    <t>Drawing progress line</t>
  </si>
  <si>
    <t>Name:taskDispInGroup</t>
  </si>
  <si>
    <t xml:space="preserve"> 프로젝트 휴무일 Calendar 설정</t>
  </si>
  <si>
    <t>Actual\nStart-Finish</t>
  </si>
  <si>
    <t>User Defined Calendar 1</t>
  </si>
  <si>
    <t>* "계획진척율" 메뉴를 클릭해야 갱신됨</t>
  </si>
  <si>
    <t>Conversion 및 Release</t>
  </si>
  <si>
    <r>
      <rPr>
        <sz val="9"/>
        <color rgb="FF000000"/>
        <rFont val="맑은 고딕"/>
        <family val="3"/>
        <charset val="129"/>
      </rPr>
      <t>일정변경</t>
    </r>
    <r>
      <rPr>
        <sz val="9"/>
        <color rgb="FF000000"/>
        <rFont val="Calibri"/>
        <family val="2"/>
      </rPr>
      <t xml:space="preserve"> </t>
    </r>
    <r>
      <rPr>
        <sz val="9"/>
        <color rgb="FF000000"/>
        <rFont val="맑은 고딕"/>
        <family val="3"/>
        <charset val="129"/>
      </rPr>
      <t>관리</t>
    </r>
    <r>
      <rPr>
        <sz val="9"/>
        <color rgb="FF000000"/>
        <rFont val="Calibri"/>
        <family val="2"/>
      </rPr>
      <t xml:space="preserve"> </t>
    </r>
    <r>
      <rPr>
        <sz val="9"/>
        <color rgb="FF000000"/>
        <rFont val="맑은 고딕"/>
        <family val="3"/>
        <charset val="129"/>
      </rPr>
      <t>안함</t>
    </r>
    <r>
      <rPr>
        <sz val="9"/>
        <color rgb="FF000000"/>
        <rFont val="Calibri"/>
        <family val="2"/>
      </rPr>
      <t>(</t>
    </r>
    <r>
      <rPr>
        <sz val="9"/>
        <color rgb="FF000000"/>
        <rFont val="맑은 고딕"/>
        <family val="3"/>
        <charset val="129"/>
      </rPr>
      <t>시작일</t>
    </r>
    <r>
      <rPr>
        <sz val="9"/>
        <color rgb="FF000000"/>
        <rFont val="Calibri"/>
        <family val="2"/>
      </rPr>
      <t>/</t>
    </r>
    <r>
      <rPr>
        <sz val="9"/>
        <color rgb="FF000000"/>
        <rFont val="맑은 고딕"/>
        <family val="3"/>
        <charset val="129"/>
      </rPr>
      <t>완료일만</t>
    </r>
    <r>
      <rPr>
        <sz val="9"/>
        <color rgb="FF000000"/>
        <rFont val="Calibri"/>
        <family val="2"/>
      </rPr>
      <t xml:space="preserve"> </t>
    </r>
    <r>
      <rPr>
        <sz val="9"/>
        <color rgb="FF000000"/>
        <rFont val="맑은 고딕"/>
        <family val="3"/>
        <charset val="129"/>
      </rPr>
      <t>사용</t>
    </r>
    <r>
      <rPr>
        <sz val="9"/>
        <color rgb="FF000000"/>
        <rFont val="Calibri"/>
        <family val="2"/>
      </rPr>
      <t>)</t>
    </r>
  </si>
  <si>
    <t>* 프로젝트 작업량과 진척율을 보여줍니다.</t>
  </si>
  <si>
    <r>
      <rPr>
        <sz val="9"/>
        <color rgb="FF000000"/>
        <rFont val="맑은 고딕"/>
        <family val="3"/>
        <charset val="129"/>
      </rPr>
      <t>선택한</t>
    </r>
    <r>
      <rPr>
        <sz val="9"/>
        <color rgb="FF000000"/>
        <rFont val="Calibri"/>
        <family val="2"/>
      </rPr>
      <t xml:space="preserve"> </t>
    </r>
    <r>
      <rPr>
        <sz val="9"/>
        <color rgb="FF000000"/>
        <rFont val="맑은 고딕"/>
        <family val="3"/>
        <charset val="129"/>
      </rPr>
      <t>위치에서는</t>
    </r>
    <r>
      <rPr>
        <sz val="9"/>
        <color rgb="FF000000"/>
        <rFont val="Calibri"/>
        <family val="2"/>
      </rPr>
      <t xml:space="preserve"> </t>
    </r>
    <r>
      <rPr>
        <sz val="9"/>
        <color rgb="FF000000"/>
        <rFont val="맑은 고딕"/>
        <family val="3"/>
        <charset val="129"/>
      </rPr>
      <t>작업할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</si>
  <si>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t>Task(</t>
    </r>
    <r>
      <rPr>
        <sz val="9"/>
        <color rgb="FF000000"/>
        <rFont val="맑은 고딕"/>
        <family val="3"/>
        <charset val="129"/>
      </rPr>
      <t>작업명</t>
    </r>
    <r>
      <rPr>
        <sz val="9"/>
        <color rgb="FF000000"/>
        <rFont val="Calibri"/>
        <family val="2"/>
      </rPr>
      <t xml:space="preserve">, </t>
    </r>
    <r>
      <rPr>
        <sz val="9"/>
        <color rgb="FF000000"/>
        <rFont val="맑은 고딕"/>
        <family val="3"/>
        <charset val="129"/>
      </rPr>
      <t>이름</t>
    </r>
    <r>
      <rPr>
        <sz val="9"/>
        <color rgb="FF000000"/>
        <rFont val="Calibri"/>
        <family val="2"/>
      </rPr>
      <t xml:space="preserve"> </t>
    </r>
    <r>
      <rPr>
        <sz val="9"/>
        <color rgb="FF000000"/>
        <rFont val="맑은 고딕"/>
        <family val="3"/>
        <charset val="129"/>
      </rPr>
      <t>등</t>
    </r>
    <r>
      <rPr>
        <sz val="9"/>
        <color rgb="FF000000"/>
        <rFont val="Calibri"/>
        <family val="2"/>
      </rPr>
      <t>)</t>
    </r>
    <r>
      <rPr>
        <sz val="9"/>
        <color rgb="FF000000"/>
        <rFont val="맑은 고딕"/>
        <family val="3"/>
        <charset val="129"/>
      </rPr>
      <t>는</t>
    </r>
    <r>
      <rPr>
        <sz val="9"/>
        <color rgb="FF000000"/>
        <rFont val="Calibri"/>
        <family val="2"/>
      </rPr>
      <t xml:space="preserve"> </t>
    </r>
    <r>
      <rPr>
        <sz val="9"/>
        <color rgb="FF000000"/>
        <rFont val="맑은 고딕"/>
        <family val="3"/>
        <charset val="129"/>
      </rPr>
      <t>반드시</t>
    </r>
    <r>
      <rPr>
        <sz val="9"/>
        <color rgb="FF000000"/>
        <rFont val="Calibri"/>
        <family val="2"/>
      </rPr>
      <t xml:space="preserve"> </t>
    </r>
    <r>
      <rPr>
        <sz val="9"/>
        <color rgb="FF000000"/>
        <rFont val="맑은 고딕"/>
        <family val="3"/>
        <charset val="129"/>
      </rPr>
      <t>입력되어야</t>
    </r>
    <r>
      <rPr>
        <sz val="9"/>
        <color rgb="FF000000"/>
        <rFont val="Calibri"/>
        <family val="2"/>
      </rPr>
      <t xml:space="preserve"> </t>
    </r>
    <r>
      <rPr>
        <sz val="9"/>
        <color rgb="FF000000"/>
        <rFont val="맑은 고딕"/>
        <family val="3"/>
        <charset val="129"/>
      </rPr>
      <t>합니다</t>
    </r>
    <r>
      <rPr>
        <sz val="9"/>
        <color rgb="FF000000"/>
        <rFont val="Calibri"/>
        <family val="2"/>
      </rPr>
      <t>.</t>
    </r>
  </si>
  <si>
    <r>
      <t>{} sheet</t>
    </r>
    <r>
      <rPr>
        <sz val="9"/>
        <color rgb="FF000000"/>
        <rFont val="맑은 고딕"/>
        <family val="3"/>
        <charset val="129"/>
      </rPr>
      <t>의</t>
    </r>
    <r>
      <rPr>
        <sz val="9"/>
        <color rgb="FF000000"/>
        <rFont val="Calibri"/>
        <family val="2"/>
      </rPr>
      <t xml:space="preserve"> </t>
    </r>
    <r>
      <rPr>
        <sz val="9"/>
        <color rgb="FF000000"/>
        <rFont val="맑은 고딕"/>
        <family val="3"/>
        <charset val="129"/>
      </rPr>
      <t>에러로</t>
    </r>
    <r>
      <rPr>
        <sz val="9"/>
        <color rgb="FF000000"/>
        <rFont val="Calibri"/>
        <family val="2"/>
      </rPr>
      <t xml:space="preserve"> </t>
    </r>
    <r>
      <rPr>
        <sz val="9"/>
        <color rgb="FF000000"/>
        <rFont val="맑은 고딕"/>
        <family val="3"/>
        <charset val="129"/>
      </rPr>
      <t>인해</t>
    </r>
    <r>
      <rPr>
        <sz val="9"/>
        <color rgb="FF000000"/>
        <rFont val="Calibri"/>
        <family val="2"/>
      </rPr>
      <t xml:space="preserve"> </t>
    </r>
    <r>
      <rPr>
        <sz val="9"/>
        <color rgb="FF000000"/>
        <rFont val="맑은 고딕"/>
        <family val="3"/>
        <charset val="129"/>
      </rPr>
      <t>작업이</t>
    </r>
    <r>
      <rPr>
        <sz val="9"/>
        <color rgb="FF000000"/>
        <rFont val="Calibri"/>
        <family val="2"/>
      </rPr>
      <t xml:space="preserve"> </t>
    </r>
    <r>
      <rPr>
        <sz val="9"/>
        <color rgb="FF000000"/>
        <rFont val="맑은 고딕"/>
        <family val="3"/>
        <charset val="129"/>
      </rPr>
      <t>중단되었습니다</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</si>
  <si>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가중치가</t>
    </r>
    <r>
      <rPr>
        <sz val="9"/>
        <color rgb="FF000000"/>
        <rFont val="Calibri"/>
        <family val="2"/>
      </rPr>
      <t xml:space="preserve"> </t>
    </r>
    <r>
      <rPr>
        <sz val="9"/>
        <color rgb="FF000000"/>
        <rFont val="맑은 고딕"/>
        <family val="3"/>
        <charset val="129"/>
      </rPr>
      <t>숫자가</t>
    </r>
    <r>
      <rPr>
        <sz val="9"/>
        <color rgb="FF000000"/>
        <rFont val="Calibri"/>
        <family val="2"/>
      </rPr>
      <t xml:space="preserve"> </t>
    </r>
    <r>
      <rPr>
        <sz val="9"/>
        <color rgb="FF000000"/>
        <rFont val="맑은 고딕"/>
        <family val="3"/>
        <charset val="129"/>
      </rPr>
      <t>아닙니다</t>
    </r>
    <r>
      <rPr>
        <sz val="9"/>
        <color rgb="FF000000"/>
        <rFont val="Calibri"/>
        <family val="2"/>
      </rPr>
      <t>.</t>
    </r>
  </si>
  <si>
    <r>
      <t xml:space="preserve"> Source</t>
    </r>
    <r>
      <rPr>
        <sz val="9"/>
        <color rgb="FF000000"/>
        <rFont val="맑은 고딕"/>
        <family val="3"/>
        <charset val="129"/>
      </rPr>
      <t>필드</t>
    </r>
    <r>
      <rPr>
        <sz val="9"/>
        <color rgb="FF000000"/>
        <rFont val="Calibri"/>
        <family val="2"/>
      </rPr>
      <t xml:space="preserve"> </t>
    </r>
    <r>
      <rPr>
        <sz val="9"/>
        <color rgb="FF000000"/>
        <rFont val="맑은 고딕"/>
        <family val="3"/>
        <charset val="129"/>
      </rPr>
      <t>명</t>
    </r>
    <r>
      <rPr>
        <sz val="9"/>
        <color rgb="FF000000"/>
        <rFont val="Calibri"/>
        <family val="2"/>
      </rPr>
      <t xml:space="preserve">       Target</t>
    </r>
    <r>
      <rPr>
        <sz val="9"/>
        <color rgb="FF000000"/>
        <rFont val="맑은 고딕"/>
        <family val="3"/>
        <charset val="129"/>
      </rPr>
      <t>필드</t>
    </r>
    <r>
      <rPr>
        <sz val="9"/>
        <color rgb="FF000000"/>
        <rFont val="Calibri"/>
        <family val="2"/>
      </rPr>
      <t xml:space="preserve"> </t>
    </r>
    <r>
      <rPr>
        <sz val="9"/>
        <color rgb="FF000000"/>
        <rFont val="맑은 고딕"/>
        <family val="3"/>
        <charset val="129"/>
      </rPr>
      <t>명</t>
    </r>
  </si>
  <si>
    <r>
      <t>* "</t>
    </r>
    <r>
      <rPr>
        <sz val="9"/>
        <color rgb="FF000000"/>
        <rFont val="맑은 고딕"/>
        <family val="3"/>
        <charset val="129"/>
      </rPr>
      <t>담당별진행율</t>
    </r>
    <r>
      <rPr>
        <sz val="9"/>
        <color rgb="FF000000"/>
        <rFont val="Calibri"/>
        <family val="2"/>
      </rPr>
      <t xml:space="preserve">" </t>
    </r>
    <r>
      <rPr>
        <sz val="9"/>
        <color rgb="FF000000"/>
        <rFont val="맑은 고딕"/>
        <family val="3"/>
        <charset val="129"/>
      </rPr>
      <t>메뉴를</t>
    </r>
    <r>
      <rPr>
        <sz val="9"/>
        <color rgb="FF000000"/>
        <rFont val="Calibri"/>
        <family val="2"/>
      </rPr>
      <t xml:space="preserve"> </t>
    </r>
    <r>
      <rPr>
        <sz val="9"/>
        <color rgb="FF000000"/>
        <rFont val="맑은 고딕"/>
        <family val="3"/>
        <charset val="129"/>
      </rPr>
      <t>클릭해야</t>
    </r>
    <r>
      <rPr>
        <sz val="9"/>
        <color rgb="FF000000"/>
        <rFont val="Calibri"/>
        <family val="2"/>
      </rPr>
      <t xml:space="preserve"> </t>
    </r>
    <r>
      <rPr>
        <sz val="9"/>
        <color rgb="FF000000"/>
        <rFont val="맑은 고딕"/>
        <family val="3"/>
        <charset val="129"/>
      </rPr>
      <t>내용이</t>
    </r>
    <r>
      <rPr>
        <sz val="9"/>
        <color rgb="FF000000"/>
        <rFont val="Calibri"/>
        <family val="2"/>
      </rPr>
      <t xml:space="preserve"> </t>
    </r>
    <r>
      <rPr>
        <sz val="9"/>
        <color rgb="FF000000"/>
        <rFont val="맑은 고딕"/>
        <family val="3"/>
        <charset val="129"/>
      </rPr>
      <t>갱신됩니다</t>
    </r>
    <r>
      <rPr>
        <sz val="9"/>
        <color rgb="FF000000"/>
        <rFont val="Calibri"/>
        <family val="2"/>
      </rPr>
      <t>.</t>
    </r>
  </si>
  <si>
    <r>
      <t>Source</t>
    </r>
    <r>
      <rPr>
        <sz val="9"/>
        <color rgb="FF000000"/>
        <rFont val="맑은 고딕"/>
        <family val="3"/>
        <charset val="129"/>
      </rPr>
      <t>파일</t>
    </r>
    <r>
      <rPr>
        <sz val="9"/>
        <color rgb="FF000000"/>
        <rFont val="Calibri"/>
        <family val="2"/>
      </rPr>
      <t>(</t>
    </r>
    <r>
      <rPr>
        <sz val="9"/>
        <color rgb="FF000000"/>
        <rFont val="맑은 고딕"/>
        <family val="3"/>
        <charset val="129"/>
      </rPr>
      <t>가져올</t>
    </r>
    <r>
      <rPr>
        <sz val="9"/>
        <color rgb="FF000000"/>
        <rFont val="Calibri"/>
        <family val="2"/>
      </rPr>
      <t xml:space="preserve"> </t>
    </r>
    <r>
      <rPr>
        <sz val="9"/>
        <color rgb="FF000000"/>
        <rFont val="맑은 고딕"/>
        <family val="3"/>
        <charset val="129"/>
      </rPr>
      <t>파일</t>
    </r>
    <r>
      <rPr>
        <sz val="9"/>
        <color rgb="FF000000"/>
        <rFont val="Calibri"/>
        <family val="2"/>
      </rPr>
      <t xml:space="preserve"> )</t>
    </r>
  </si>
  <si>
    <r>
      <t xml:space="preserve">{} </t>
    </r>
    <r>
      <rPr>
        <sz val="9"/>
        <color rgb="FF000000"/>
        <rFont val="맑은 고딕"/>
        <family val="3"/>
        <charset val="129"/>
      </rPr>
      <t>파일이</t>
    </r>
    <r>
      <rPr>
        <sz val="9"/>
        <color rgb="FF000000"/>
        <rFont val="Calibri"/>
        <family val="2"/>
      </rPr>
      <t xml:space="preserve"> </t>
    </r>
    <r>
      <rPr>
        <sz val="9"/>
        <color rgb="FF000000"/>
        <rFont val="맑은 고딕"/>
        <family val="3"/>
        <charset val="129"/>
      </rPr>
      <t>존재하지</t>
    </r>
    <r>
      <rPr>
        <sz val="9"/>
        <color rgb="FF000000"/>
        <rFont val="Calibri"/>
        <family val="2"/>
      </rPr>
      <t xml:space="preserve"> </t>
    </r>
    <r>
      <rPr>
        <sz val="9"/>
        <color rgb="FF000000"/>
        <rFont val="맑은 고딕"/>
        <family val="3"/>
        <charset val="129"/>
      </rPr>
      <t>않습니다</t>
    </r>
  </si>
  <si>
    <r>
      <t>XLGantt</t>
    </r>
    <r>
      <rPr>
        <sz val="9"/>
        <color rgb="FF000000"/>
        <rFont val="맑은 고딕"/>
        <family val="3"/>
        <charset val="129"/>
      </rPr>
      <t>에서</t>
    </r>
    <r>
      <rPr>
        <sz val="9"/>
        <color rgb="FF000000"/>
        <rFont val="Calibri"/>
        <family val="2"/>
      </rPr>
      <t xml:space="preserve"> </t>
    </r>
    <r>
      <rPr>
        <sz val="9"/>
        <color rgb="FF000000"/>
        <rFont val="맑은 고딕"/>
        <family val="3"/>
        <charset val="129"/>
      </rPr>
      <t>사용할</t>
    </r>
    <r>
      <rPr>
        <sz val="9"/>
        <color rgb="FF000000"/>
        <rFont val="Calibri"/>
        <family val="2"/>
      </rPr>
      <t xml:space="preserve"> </t>
    </r>
    <r>
      <rPr>
        <sz val="9"/>
        <color rgb="FF000000"/>
        <rFont val="맑은 고딕"/>
        <family val="3"/>
        <charset val="129"/>
      </rPr>
      <t>언어</t>
    </r>
    <r>
      <rPr>
        <sz val="9"/>
        <color rgb="FF000000"/>
        <rFont val="Calibri"/>
        <family val="2"/>
      </rPr>
      <t xml:space="preserve"> </t>
    </r>
    <r>
      <rPr>
        <sz val="9"/>
        <color rgb="FF000000"/>
        <rFont val="맑은 고딕"/>
        <family val="3"/>
        <charset val="129"/>
      </rPr>
      <t>선택</t>
    </r>
  </si>
  <si>
    <r>
      <t xml:space="preserve">Gantt chart </t>
    </r>
    <r>
      <rPr>
        <sz val="9"/>
        <color rgb="FF000000"/>
        <rFont val="맑은 고딕"/>
        <family val="3"/>
        <charset val="129"/>
      </rPr>
      <t>그리기</t>
    </r>
    <r>
      <rPr>
        <sz val="9"/>
        <color rgb="FF000000"/>
        <rFont val="Calibri"/>
        <family val="2"/>
      </rPr>
      <t xml:space="preserve"> </t>
    </r>
    <r>
      <rPr>
        <sz val="9"/>
        <color rgb="FF000000"/>
        <rFont val="맑은 고딕"/>
        <family val="3"/>
        <charset val="129"/>
      </rPr>
      <t>작업</t>
    </r>
  </si>
  <si>
    <r>
      <t>Gantt chart</t>
    </r>
    <r>
      <rPr>
        <sz val="9"/>
        <color rgb="FF000000"/>
        <rFont val="맑은 고딕"/>
        <family val="3"/>
        <charset val="129"/>
      </rPr>
      <t>표시</t>
    </r>
    <r>
      <rPr>
        <sz val="9"/>
        <color rgb="FF000000"/>
        <rFont val="Calibri"/>
        <family val="2"/>
      </rPr>
      <t xml:space="preserve"> </t>
    </r>
    <r>
      <rPr>
        <sz val="9"/>
        <color rgb="FF000000"/>
        <rFont val="맑은 고딕"/>
        <family val="3"/>
        <charset val="129"/>
      </rPr>
      <t>방법</t>
    </r>
  </si>
  <si>
    <r>
      <t>Target</t>
    </r>
    <r>
      <rPr>
        <sz val="9"/>
        <color rgb="FF000000"/>
        <rFont val="맑은 고딕"/>
        <family val="3"/>
        <charset val="129"/>
      </rPr>
      <t>파일</t>
    </r>
    <r>
      <rPr>
        <sz val="9"/>
        <color rgb="FF000000"/>
        <rFont val="Calibri"/>
        <family val="2"/>
      </rPr>
      <t>(</t>
    </r>
    <r>
      <rPr>
        <sz val="9"/>
        <color rgb="FF000000"/>
        <rFont val="맑은 고딕"/>
        <family val="3"/>
        <charset val="129"/>
      </rPr>
      <t>가져온</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파일</t>
    </r>
    <r>
      <rPr>
        <sz val="9"/>
        <color rgb="FF000000"/>
        <rFont val="Calibri"/>
        <family val="2"/>
      </rPr>
      <t>)</t>
    </r>
  </si>
  <si>
    <r>
      <t xml:space="preserve">Gantt Chart </t>
    </r>
    <r>
      <rPr>
        <sz val="9"/>
        <color rgb="FF000000"/>
        <rFont val="맑은 고딕"/>
        <family val="3"/>
        <charset val="129"/>
      </rPr>
      <t>보기</t>
    </r>
    <r>
      <rPr>
        <sz val="9"/>
        <color rgb="FF000000"/>
        <rFont val="Calibri"/>
        <family val="2"/>
      </rPr>
      <t xml:space="preserve"> </t>
    </r>
    <r>
      <rPr>
        <sz val="9"/>
        <color rgb="FF000000"/>
        <rFont val="맑은 고딕"/>
        <family val="3"/>
        <charset val="129"/>
      </rPr>
      <t>형식</t>
    </r>
  </si>
  <si>
    <t>The "Planned %Work Complete" column has been deleted. Please retry after changing the sheet to its previous state.</t>
  </si>
  <si>
    <t>The "Actual Total Duration" column has been deleted. Please retry after changing the sheet to its previous state.</t>
  </si>
  <si>
    <r>
      <rPr>
        <sz val="9"/>
        <color rgb="FF000000"/>
        <rFont val="맑은 고딕"/>
        <family val="3"/>
        <charset val="129"/>
      </rPr>
      <t>개요수준</t>
    </r>
    <r>
      <rPr>
        <sz val="9"/>
        <color rgb="FF000000"/>
        <rFont val="Calibri"/>
        <family val="2"/>
      </rPr>
      <t>(</t>
    </r>
    <r>
      <rPr>
        <sz val="9"/>
        <color rgb="FF000000"/>
        <rFont val="맑은 고딕"/>
        <family val="3"/>
        <charset val="129"/>
      </rPr>
      <t>작업</t>
    </r>
    <r>
      <rPr>
        <sz val="9"/>
        <color rgb="FF000000"/>
        <rFont val="Calibri"/>
        <family val="2"/>
      </rPr>
      <t>Level)</t>
    </r>
    <r>
      <rPr>
        <sz val="9"/>
        <color rgb="FF000000"/>
        <rFont val="맑은 고딕"/>
        <family val="3"/>
        <charset val="129"/>
      </rPr>
      <t>필드입니다</t>
    </r>
    <r>
      <rPr>
        <sz val="9"/>
        <color rgb="FF000000"/>
        <rFont val="Calibri"/>
        <family val="2"/>
      </rPr>
      <t xml:space="preserve">. </t>
    </r>
    <r>
      <rPr>
        <sz val="9"/>
        <color rgb="FF000000"/>
        <rFont val="맑은 고딕"/>
        <family val="3"/>
        <charset val="129"/>
      </rPr>
      <t>작업의</t>
    </r>
    <r>
      <rPr>
        <sz val="9"/>
        <color rgb="FF000000"/>
        <rFont val="Calibri"/>
        <family val="2"/>
      </rPr>
      <t xml:space="preserve"> Level</t>
    </r>
    <r>
      <rPr>
        <sz val="9"/>
        <color rgb="FF000000"/>
        <rFont val="맑은 고딕"/>
        <family val="3"/>
        <charset val="129"/>
      </rPr>
      <t>을</t>
    </r>
    <r>
      <rPr>
        <sz val="9"/>
        <color rgb="FF000000"/>
        <rFont val="Calibri"/>
        <family val="2"/>
      </rPr>
      <t xml:space="preserve"> </t>
    </r>
    <r>
      <rPr>
        <sz val="9"/>
        <color rgb="FF000000"/>
        <rFont val="맑은 고딕"/>
        <family val="3"/>
        <charset val="129"/>
      </rPr>
      <t>표시합니다</t>
    </r>
    <r>
      <rPr>
        <sz val="9"/>
        <color rgb="FF000000"/>
        <rFont val="Calibri"/>
        <family val="2"/>
      </rPr>
      <t xml:space="preserve">. </t>
    </r>
    <r>
      <rPr>
        <sz val="9"/>
        <color rgb="FF000000"/>
        <rFont val="맑은 고딕"/>
        <family val="3"/>
        <charset val="129"/>
      </rPr>
      <t>예를</t>
    </r>
    <r>
      <rPr>
        <sz val="9"/>
        <color rgb="FF000000"/>
        <rFont val="Calibri"/>
        <family val="2"/>
      </rPr>
      <t xml:space="preserve"> </t>
    </r>
    <r>
      <rPr>
        <sz val="9"/>
        <color rgb="FF000000"/>
        <rFont val="맑은 고딕"/>
        <family val="3"/>
        <charset val="129"/>
      </rPr>
      <t>들어</t>
    </r>
    <r>
      <rPr>
        <sz val="9"/>
        <color rgb="FF000000"/>
        <rFont val="Calibri"/>
        <family val="2"/>
      </rPr>
      <t xml:space="preserve"> 2 Level</t>
    </r>
    <r>
      <rPr>
        <sz val="9"/>
        <color rgb="FF000000"/>
        <rFont val="맑은 고딕"/>
        <family val="3"/>
        <charset val="129"/>
      </rPr>
      <t>의</t>
    </r>
    <r>
      <rPr>
        <sz val="9"/>
        <color rgb="FF000000"/>
        <rFont val="Calibri"/>
        <family val="2"/>
      </rPr>
      <t xml:space="preserve"> </t>
    </r>
    <r>
      <rPr>
        <sz val="9"/>
        <color rgb="FF000000"/>
        <rFont val="맑은 고딕"/>
        <family val="3"/>
        <charset val="129"/>
      </rPr>
      <t>작업이면</t>
    </r>
    <r>
      <rPr>
        <sz val="9"/>
        <color rgb="FF000000"/>
        <rFont val="Calibri"/>
        <family val="2"/>
      </rPr>
      <t xml:space="preserve"> </t>
    </r>
    <r>
      <rPr>
        <sz val="9"/>
        <color rgb="FF000000"/>
        <rFont val="맑은 고딕"/>
        <family val="3"/>
        <charset val="129"/>
      </rPr>
      <t>숫자</t>
    </r>
    <r>
      <rPr>
        <sz val="9"/>
        <color rgb="FF000000"/>
        <rFont val="Calibri"/>
        <family val="2"/>
      </rPr>
      <t xml:space="preserve"> 2</t>
    </r>
    <r>
      <rPr>
        <sz val="9"/>
        <color rgb="FF000000"/>
        <rFont val="맑은 고딕"/>
        <family val="3"/>
        <charset val="129"/>
      </rPr>
      <t>로</t>
    </r>
    <r>
      <rPr>
        <sz val="9"/>
        <color rgb="FF000000"/>
        <rFont val="Calibri"/>
        <family val="2"/>
      </rPr>
      <t xml:space="preserve"> </t>
    </r>
    <r>
      <rPr>
        <sz val="9"/>
        <color rgb="FF000000"/>
        <rFont val="맑은 고딕"/>
        <family val="3"/>
        <charset val="129"/>
      </rPr>
      <t>표시됩니다</t>
    </r>
    <r>
      <rPr>
        <sz val="9"/>
        <color rgb="FF000000"/>
        <rFont val="Calibri"/>
        <family val="2"/>
      </rPr>
      <t xml:space="preserve">. </t>
    </r>
    <r>
      <rPr>
        <sz val="9"/>
        <color rgb="FF000000"/>
        <rFont val="맑은 고딕"/>
        <family val="3"/>
        <charset val="129"/>
      </rPr>
      <t>개요수준대신</t>
    </r>
    <r>
      <rPr>
        <sz val="9"/>
        <color rgb="FF000000"/>
        <rFont val="Calibri"/>
        <family val="2"/>
      </rPr>
      <t xml:space="preserve"> WBS</t>
    </r>
    <r>
      <rPr>
        <sz val="9"/>
        <color rgb="FF000000"/>
        <rFont val="맑은 고딕"/>
        <family val="3"/>
        <charset val="129"/>
      </rPr>
      <t>필드</t>
    </r>
    <r>
      <rPr>
        <sz val="9"/>
        <color rgb="FF000000"/>
        <rFont val="Calibri"/>
        <family val="2"/>
      </rPr>
      <t xml:space="preserve">(1.3.2 </t>
    </r>
    <r>
      <rPr>
        <sz val="9"/>
        <color rgb="FF000000"/>
        <rFont val="맑은 고딕"/>
        <family val="3"/>
        <charset val="129"/>
      </rPr>
      <t>등의</t>
    </r>
    <r>
      <rPr>
        <sz val="9"/>
        <color rgb="FF000000"/>
        <rFont val="Calibri"/>
        <family val="2"/>
      </rPr>
      <t xml:space="preserve"> </t>
    </r>
    <r>
      <rPr>
        <sz val="9"/>
        <color rgb="FF000000"/>
        <rFont val="맑은 고딕"/>
        <family val="3"/>
        <charset val="129"/>
      </rPr>
      <t>형식으로</t>
    </r>
    <r>
      <rPr>
        <sz val="9"/>
        <color rgb="FF000000"/>
        <rFont val="Calibri"/>
        <family val="2"/>
      </rPr>
      <t xml:space="preserve"> </t>
    </r>
    <r>
      <rPr>
        <sz val="9"/>
        <color rgb="FF000000"/>
        <rFont val="맑은 고딕"/>
        <family val="3"/>
        <charset val="129"/>
      </rPr>
      <t>표시</t>
    </r>
    <r>
      <rPr>
        <sz val="9"/>
        <color rgb="FF000000"/>
        <rFont val="Calibri"/>
        <family val="2"/>
      </rPr>
      <t>)</t>
    </r>
    <r>
      <rPr>
        <sz val="9"/>
        <color rgb="FF000000"/>
        <rFont val="맑은 고딕"/>
        <family val="3"/>
        <charset val="129"/>
      </rPr>
      <t>를</t>
    </r>
    <r>
      <rPr>
        <sz val="9"/>
        <color rgb="FF000000"/>
        <rFont val="Calibri"/>
        <family val="2"/>
      </rPr>
      <t xml:space="preserve"> </t>
    </r>
    <r>
      <rPr>
        <sz val="9"/>
        <color rgb="FF000000"/>
        <rFont val="맑은 고딕"/>
        <family val="3"/>
        <charset val="129"/>
      </rPr>
      <t>사용하기도</t>
    </r>
    <r>
      <rPr>
        <sz val="9"/>
        <color rgb="FF000000"/>
        <rFont val="Calibri"/>
        <family val="2"/>
      </rPr>
      <t xml:space="preserve"> </t>
    </r>
    <r>
      <rPr>
        <sz val="9"/>
        <color rgb="FF000000"/>
        <rFont val="맑은 고딕"/>
        <family val="3"/>
        <charset val="129"/>
      </rPr>
      <t>합니다</t>
    </r>
    <r>
      <rPr>
        <sz val="9"/>
        <color rgb="FF000000"/>
        <rFont val="Calibri"/>
        <family val="2"/>
      </rPr>
      <t>.</t>
    </r>
  </si>
  <si>
    <t>"Outline level"(task Level) field. It displays the level of a task.Instead of "Outline level", you can use "WBS".</t>
  </si>
  <si>
    <t>Of the first two rows, at least one has been deleted. Please retry after changing the sheet to its previous state.</t>
  </si>
  <si>
    <t>Once you choose "Display the task name in the same field" option, you should select a WBS No. or a WBS Level field.</t>
  </si>
  <si>
    <t>12월 16일</t>
  </si>
  <si>
    <t>코드 병합</t>
  </si>
  <si>
    <t>12월 8일</t>
  </si>
  <si>
    <t>11월 18일</t>
  </si>
  <si>
    <t>11월 20일</t>
  </si>
  <si>
    <t>11월 23일</t>
  </si>
  <si>
    <t>11월 19일</t>
  </si>
  <si>
    <t>11월 15일</t>
  </si>
  <si>
    <t>12월 10일</t>
  </si>
  <si>
    <t>12월 7일</t>
  </si>
  <si>
    <t>11월 22일</t>
  </si>
  <si>
    <t>VERSION</t>
  </si>
  <si>
    <t>Cancel</t>
  </si>
  <si>
    <t>11월 24일</t>
  </si>
  <si>
    <t>11월 16일</t>
  </si>
  <si>
    <t>12월 5일</t>
  </si>
  <si>
    <t>ITEM</t>
  </si>
  <si>
    <t>11월 25일</t>
  </si>
  <si>
    <t>XLGantt</t>
  </si>
  <si>
    <t>Add &gt;&gt;</t>
  </si>
  <si>
    <t>WBS No.</t>
  </si>
  <si>
    <t>License</t>
  </si>
  <si>
    <t>11월 12일</t>
  </si>
  <si>
    <t>Man/Day</t>
  </si>
  <si>
    <t>task</t>
  </si>
  <si>
    <t>About</t>
  </si>
  <si>
    <t>11월 21일</t>
  </si>
  <si>
    <t>12월 9일</t>
  </si>
  <si>
    <t>12월 6일</t>
  </si>
  <si>
    <t>12월 3일</t>
  </si>
  <si>
    <t>11월 13일</t>
  </si>
  <si>
    <t>12월 4일</t>
  </si>
  <si>
    <t>11월 27일</t>
  </si>
  <si>
    <t>1.3.2</t>
  </si>
  <si>
    <t>Chart</t>
  </si>
  <si>
    <t>11월 14일</t>
  </si>
  <si>
    <t>11월 28일</t>
  </si>
  <si>
    <t>11월 17일</t>
  </si>
  <si>
    <t>Updates</t>
  </si>
  <si>
    <t>LICENSE</t>
  </si>
  <si>
    <t>Task</t>
  </si>
  <si>
    <t>Weight</t>
  </si>
  <si>
    <t>11월 30일</t>
  </si>
  <si>
    <t>12월 1일</t>
  </si>
  <si>
    <t>12월 2일</t>
  </si>
  <si>
    <t>11월 26일</t>
  </si>
  <si>
    <t>1.3.3</t>
  </si>
  <si>
    <t>프로젝트 착수</t>
  </si>
  <si>
    <t>Total</t>
  </si>
  <si>
    <t>VALUE1</t>
  </si>
  <si>
    <t>Next &gt;&gt;</t>
  </si>
  <si>
    <t>1.3.1</t>
  </si>
  <si>
    <t>VALUE3</t>
  </si>
  <si>
    <t xml:space="preserve"> Mapped</t>
  </si>
  <si>
    <t>Today</t>
  </si>
  <si>
    <t>Man-Day</t>
  </si>
  <si>
    <t>1.2.3</t>
  </si>
  <si>
    <t>English</t>
  </si>
  <si>
    <t>VALUE2</t>
  </si>
  <si>
    <t>COMPANY</t>
  </si>
  <si>
    <t>Korean</t>
  </si>
  <si>
    <t>XLWorks</t>
  </si>
  <si>
    <t>1.2.1</t>
  </si>
  <si>
    <t>General</t>
  </si>
  <si>
    <t>Note</t>
  </si>
  <si>
    <t>1.2.2</t>
  </si>
  <si>
    <t>Import</t>
  </si>
  <si>
    <t>Start</t>
  </si>
  <si>
    <t>11월 29일</t>
  </si>
  <si>
    <t>Excel</t>
  </si>
  <si>
    <t>프로세스모델링</t>
  </si>
  <si>
    <t>2.2.2.3</t>
  </si>
  <si>
    <t>테스트 설계</t>
  </si>
  <si>
    <t>start</t>
  </si>
  <si>
    <t>1.3.4</t>
  </si>
  <si>
    <t>데이터모델링</t>
  </si>
  <si>
    <t>Finish</t>
  </si>
  <si>
    <t>2.1.0</t>
  </si>
  <si>
    <t>검수 및 종료</t>
  </si>
  <si>
    <r>
      <rPr>
        <sz val="9"/>
        <color rgb="FF000000"/>
        <rFont val="맑은 고딕"/>
        <family val="3"/>
        <charset val="129"/>
      </rPr>
      <t>실적진척율</t>
    </r>
  </si>
  <si>
    <t>Word</t>
  </si>
  <si>
    <t>Close</t>
  </si>
  <si>
    <t>blabla</t>
  </si>
  <si>
    <t>Map &gt;&gt;</t>
  </si>
  <si>
    <t>Months</t>
  </si>
  <si>
    <t>2.2.2.2</t>
  </si>
  <si>
    <t>프로그램설계</t>
  </si>
  <si>
    <t>Save</t>
  </si>
  <si>
    <t>Filter</t>
  </si>
  <si>
    <t>요구사항정의</t>
  </si>
  <si>
    <t>1.1.1</t>
  </si>
  <si>
    <t>1.1.2.1</t>
  </si>
  <si>
    <t>1.2.4</t>
  </si>
  <si>
    <t>John</t>
  </si>
  <si>
    <t>종료보고</t>
  </si>
  <si>
    <t>Actual</t>
  </si>
  <si>
    <t>finish</t>
  </si>
  <si>
    <t>Weeks</t>
  </si>
  <si>
    <r>
      <rPr>
        <sz val="9"/>
        <color rgb="FF000000"/>
        <rFont val="맑은 고딕"/>
        <family val="3"/>
        <charset val="129"/>
      </rPr>
      <t>확장자명</t>
    </r>
  </si>
  <si>
    <t>프로젝트 종료</t>
  </si>
  <si>
    <t>월간보고2</t>
  </si>
  <si>
    <t>1.1.2.2</t>
  </si>
  <si>
    <t>Equals</t>
  </si>
  <si>
    <t>UI 설계</t>
  </si>
  <si>
    <t>프로젝트 관리</t>
  </si>
  <si>
    <t>월간보고3</t>
  </si>
  <si>
    <t>Weekly</t>
  </si>
  <si>
    <t>시스템 개발</t>
  </si>
  <si>
    <t>Plan</t>
  </si>
  <si>
    <t>Monthly</t>
  </si>
  <si>
    <t>종료계획수립</t>
  </si>
  <si>
    <t>월간보고1</t>
  </si>
  <si>
    <t>Options</t>
  </si>
  <si>
    <t>2.2.1</t>
  </si>
  <si>
    <r>
      <rPr>
        <sz val="9"/>
        <color rgb="FF000000"/>
        <rFont val="맑은 고딕"/>
        <family val="3"/>
        <charset val="129"/>
      </rPr>
      <t>실제완료일</t>
    </r>
  </si>
  <si>
    <r>
      <rPr>
        <sz val="9"/>
        <color rgb="FF000000"/>
        <rFont val="맑은 고딕"/>
        <family val="3"/>
        <charset val="129"/>
      </rPr>
      <t>일별보기</t>
    </r>
  </si>
  <si>
    <t>Daily</t>
  </si>
  <si>
    <r>
      <rPr>
        <sz val="9"/>
        <color rgb="FF000000"/>
        <rFont val="맑은 고딕"/>
        <family val="3"/>
        <charset val="129"/>
      </rPr>
      <t>라이선스</t>
    </r>
  </si>
  <si>
    <r>
      <rPr>
        <sz val="9"/>
        <color rgb="FF000000"/>
        <rFont val="맑은 고딕"/>
        <family val="3"/>
        <charset val="129"/>
      </rPr>
      <t>자동지정</t>
    </r>
  </si>
  <si>
    <r>
      <rPr>
        <sz val="9"/>
        <color rgb="FF000000"/>
        <rFont val="맑은 고딕"/>
        <family val="3"/>
        <charset val="129"/>
      </rPr>
      <t>실제시작일자</t>
    </r>
  </si>
  <si>
    <r>
      <rPr>
        <sz val="9"/>
        <color rgb="FF000000"/>
        <rFont val="맑은 고딕"/>
        <family val="3"/>
        <charset val="129"/>
      </rPr>
      <t>특정날짜</t>
    </r>
  </si>
  <si>
    <t>2.2.2.1</t>
  </si>
  <si>
    <t>프로그램A</t>
  </si>
  <si>
    <t>2.1.1</t>
  </si>
  <si>
    <r>
      <rPr>
        <sz val="9"/>
        <color rgb="FF000000"/>
        <rFont val="맑은 고딕"/>
        <family val="3"/>
        <charset val="129"/>
      </rPr>
      <t>프로그램명</t>
    </r>
  </si>
  <si>
    <r>
      <rPr>
        <sz val="9"/>
        <color rgb="FF000000"/>
        <rFont val="맑은 고딕"/>
        <family val="3"/>
        <charset val="129"/>
      </rPr>
      <t>실제완료일자</t>
    </r>
  </si>
  <si>
    <r>
      <rPr>
        <sz val="9"/>
        <color rgb="FF000000"/>
        <rFont val="맑은 고딕"/>
        <family val="3"/>
        <charset val="129"/>
      </rPr>
      <t>실제시작일</t>
    </r>
  </si>
  <si>
    <t>중간보고</t>
  </si>
  <si>
    <r>
      <rPr>
        <sz val="9"/>
        <color rgb="FF000000"/>
        <rFont val="맑은 고딕"/>
        <family val="3"/>
        <charset val="129"/>
      </rPr>
      <t>추가</t>
    </r>
    <r>
      <rPr>
        <sz val="9"/>
        <color rgb="FF000000"/>
        <rFont val="Calibri"/>
        <family val="2"/>
      </rPr>
      <t xml:space="preserve"> &gt;&gt;</t>
    </r>
  </si>
  <si>
    <t>2.3.1.1</t>
  </si>
  <si>
    <r>
      <rPr>
        <sz val="9"/>
        <color rgb="FF000000"/>
        <rFont val="맑은 고딕"/>
        <family val="3"/>
        <charset val="129"/>
      </rPr>
      <t>월별보기</t>
    </r>
  </si>
  <si>
    <r>
      <rPr>
        <sz val="9"/>
        <color rgb="FF000000"/>
        <rFont val="맑은 고딕"/>
        <family val="3"/>
        <charset val="129"/>
      </rPr>
      <t>완료일자</t>
    </r>
  </si>
  <si>
    <t>프로그램 개발</t>
  </si>
  <si>
    <t>논리모델구축</t>
  </si>
  <si>
    <t>프로그램B</t>
  </si>
  <si>
    <r>
      <rPr>
        <sz val="9"/>
        <color rgb="FF000000"/>
        <rFont val="맑은 고딕"/>
        <family val="3"/>
        <charset val="129"/>
      </rPr>
      <t>가져오기</t>
    </r>
  </si>
  <si>
    <r>
      <rPr>
        <sz val="9"/>
        <color rgb="FF000000"/>
        <rFont val="맑은 고딕"/>
        <family val="3"/>
        <charset val="129"/>
      </rPr>
      <t>최신버전확인</t>
    </r>
  </si>
  <si>
    <r>
      <rPr>
        <sz val="9"/>
        <color rgb="FF000000"/>
        <rFont val="맑은 고딕"/>
        <family val="3"/>
        <charset val="129"/>
      </rPr>
      <t>프로젝트명</t>
    </r>
  </si>
  <si>
    <r>
      <rPr>
        <sz val="9"/>
        <color rgb="FF000000"/>
        <rFont val="맑은 고딕"/>
        <family val="3"/>
        <charset val="129"/>
      </rPr>
      <t>휴무일명</t>
    </r>
  </si>
  <si>
    <t>2.2.3</t>
  </si>
  <si>
    <r>
      <rPr>
        <sz val="9"/>
        <color rgb="FF000000"/>
        <rFont val="맑은 고딕"/>
        <family val="3"/>
        <charset val="129"/>
      </rPr>
      <t>파워포인트</t>
    </r>
  </si>
  <si>
    <r>
      <rPr>
        <sz val="9"/>
        <color rgb="FF000000"/>
        <rFont val="맑은 고딕"/>
        <family val="3"/>
        <charset val="129"/>
      </rPr>
      <t>휴무일자</t>
    </r>
  </si>
  <si>
    <r>
      <rPr>
        <sz val="9"/>
        <color rgb="FF000000"/>
        <rFont val="맑은 고딕"/>
        <family val="3"/>
        <charset val="129"/>
      </rPr>
      <t>개요수준</t>
    </r>
  </si>
  <si>
    <t>프로그램C</t>
  </si>
  <si>
    <r>
      <rPr>
        <sz val="9"/>
        <color rgb="FF000000"/>
        <rFont val="맑은 고딕"/>
        <family val="3"/>
        <charset val="129"/>
      </rPr>
      <t>작업결과</t>
    </r>
  </si>
  <si>
    <t>2.4.2.4</t>
  </si>
  <si>
    <t>통합테스트실시</t>
  </si>
  <si>
    <t>시스템 설계</t>
  </si>
  <si>
    <r>
      <rPr>
        <sz val="9"/>
        <color rgb="FF000000"/>
        <rFont val="맑은 고딕"/>
        <family val="3"/>
        <charset val="129"/>
      </rPr>
      <t>차이</t>
    </r>
    <r>
      <rPr>
        <sz val="9"/>
        <color rgb="FF000000"/>
        <rFont val="Calibri"/>
        <family val="2"/>
      </rPr>
      <t>(B-A)</t>
    </r>
  </si>
  <si>
    <t>2.4.2.3</t>
  </si>
  <si>
    <r>
      <rPr>
        <sz val="9"/>
        <color rgb="FF000000"/>
        <rFont val="맑은 고딕"/>
        <family val="3"/>
        <charset val="129"/>
      </rPr>
      <t>프로그램</t>
    </r>
    <r>
      <rPr>
        <sz val="9"/>
        <color rgb="FF000000"/>
        <rFont val="Calibri"/>
        <family val="2"/>
      </rPr>
      <t xml:space="preserve"> </t>
    </r>
    <r>
      <rPr>
        <sz val="9"/>
        <color rgb="FF000000"/>
        <rFont val="맑은 고딕"/>
        <family val="3"/>
        <charset val="129"/>
      </rPr>
      <t>정보</t>
    </r>
  </si>
  <si>
    <t>2.3.1.2</t>
  </si>
  <si>
    <r>
      <rPr>
        <sz val="9"/>
        <color rgb="FF000000"/>
        <rFont val="맑은 고딕"/>
        <family val="3"/>
        <charset val="129"/>
      </rPr>
      <t>시작일자</t>
    </r>
  </si>
  <si>
    <r>
      <rPr>
        <sz val="9"/>
        <color rgb="FF000000"/>
        <rFont val="맑은 고딕"/>
        <family val="3"/>
        <charset val="129"/>
      </rPr>
      <t>화면설계</t>
    </r>
  </si>
  <si>
    <r>
      <rPr>
        <sz val="9"/>
        <color rgb="FF000000"/>
        <rFont val="맑은 고딕"/>
        <family val="3"/>
        <charset val="129"/>
      </rPr>
      <t>날짜</t>
    </r>
    <r>
      <rPr>
        <sz val="9"/>
        <color rgb="FF000000"/>
        <rFont val="Calibri"/>
        <family val="2"/>
      </rPr>
      <t xml:space="preserve"> </t>
    </r>
    <r>
      <rPr>
        <sz val="9"/>
        <color rgb="FF000000"/>
        <rFont val="맑은 고딕"/>
        <family val="3"/>
        <charset val="129"/>
      </rPr>
      <t>선택</t>
    </r>
  </si>
  <si>
    <t>1.1.2</t>
  </si>
  <si>
    <r>
      <rPr>
        <sz val="9"/>
        <color rgb="FF000000"/>
        <rFont val="맑은 고딕"/>
        <family val="3"/>
        <charset val="129"/>
      </rPr>
      <t>계획진척율</t>
    </r>
  </si>
  <si>
    <t>2.3.1</t>
  </si>
  <si>
    <r>
      <rPr>
        <sz val="9"/>
        <color rgb="FF000000"/>
        <rFont val="맑은 고딕"/>
        <family val="3"/>
        <charset val="129"/>
      </rPr>
      <t>서식재설정</t>
    </r>
  </si>
  <si>
    <t>2.1.2.1</t>
  </si>
  <si>
    <t>2.3.2.2</t>
  </si>
  <si>
    <t>2.4.2</t>
  </si>
  <si>
    <r>
      <rPr>
        <sz val="9"/>
        <color rgb="FF000000"/>
        <rFont val="맑은 고딕"/>
        <family val="3"/>
        <charset val="129"/>
      </rPr>
      <t>스케줄업데이트</t>
    </r>
  </si>
  <si>
    <r>
      <rPr>
        <sz val="9"/>
        <color rgb="FF000000"/>
        <rFont val="맑은 고딕"/>
        <family val="3"/>
        <charset val="129"/>
      </rPr>
      <t>표준캘린더</t>
    </r>
  </si>
  <si>
    <r>
      <rPr>
        <sz val="9"/>
        <color rgb="FF000000"/>
        <rFont val="맑은 고딕"/>
        <family val="3"/>
        <charset val="129"/>
      </rPr>
      <t>계획</t>
    </r>
    <r>
      <rPr>
        <sz val="9"/>
        <color rgb="FF000000"/>
        <rFont val="Calibri"/>
        <family val="2"/>
      </rPr>
      <t>(B/A)</t>
    </r>
  </si>
  <si>
    <t>2.2.2</t>
  </si>
  <si>
    <r>
      <rPr>
        <sz val="9"/>
        <color rgb="FF000000"/>
        <rFont val="맑은 고딕"/>
        <family val="3"/>
        <charset val="129"/>
      </rPr>
      <t>실적</t>
    </r>
    <r>
      <rPr>
        <sz val="9"/>
        <color rgb="FF000000"/>
        <rFont val="Calibri"/>
        <family val="2"/>
      </rPr>
      <t>(C/A)</t>
    </r>
  </si>
  <si>
    <r>
      <rPr>
        <sz val="9"/>
        <color rgb="FF000000"/>
        <rFont val="맑은 고딕"/>
        <family val="3"/>
        <charset val="129"/>
      </rPr>
      <t>다음</t>
    </r>
    <r>
      <rPr>
        <sz val="9"/>
        <color rgb="FF000000"/>
        <rFont val="Calibri"/>
        <family val="2"/>
      </rPr>
      <t xml:space="preserve"> &gt;&gt;</t>
    </r>
  </si>
  <si>
    <r>
      <rPr>
        <sz val="9"/>
        <color rgb="FF000000"/>
        <rFont val="맑은 고딕"/>
        <family val="3"/>
        <charset val="129"/>
      </rPr>
      <t>주별보기</t>
    </r>
  </si>
  <si>
    <r>
      <rPr>
        <sz val="9"/>
        <color rgb="FF000000"/>
        <rFont val="맑은 고딕"/>
        <family val="3"/>
        <charset val="129"/>
      </rPr>
      <t>파일</t>
    </r>
    <r>
      <rPr>
        <sz val="9"/>
        <color rgb="FF000000"/>
        <rFont val="Calibri"/>
        <family val="2"/>
      </rPr>
      <t xml:space="preserve"> </t>
    </r>
    <r>
      <rPr>
        <sz val="9"/>
        <color rgb="FF000000"/>
        <rFont val="맑은 고딕"/>
        <family val="3"/>
        <charset val="129"/>
      </rPr>
      <t>가져오기</t>
    </r>
  </si>
  <si>
    <r>
      <rPr>
        <sz val="9"/>
        <color rgb="FF000000"/>
        <rFont val="맑은 고딕"/>
        <family val="3"/>
        <charset val="129"/>
      </rPr>
      <t>시작일</t>
    </r>
    <r>
      <rPr>
        <sz val="9"/>
        <color rgb="FF000000"/>
        <rFont val="Calibri"/>
        <family val="2"/>
      </rPr>
      <t>-</t>
    </r>
    <r>
      <rPr>
        <sz val="9"/>
        <color rgb="FF000000"/>
        <rFont val="맑은 고딕"/>
        <family val="3"/>
        <charset val="129"/>
      </rPr>
      <t>완료일</t>
    </r>
  </si>
  <si>
    <r>
      <rPr>
        <sz val="9"/>
        <color rgb="FF000000"/>
        <rFont val="맑은 고딕"/>
        <family val="3"/>
        <charset val="129"/>
      </rPr>
      <t>작업</t>
    </r>
    <r>
      <rPr>
        <sz val="9"/>
        <color rgb="FF000000"/>
        <rFont val="Calibri"/>
        <family val="2"/>
      </rPr>
      <t xml:space="preserve"> </t>
    </r>
    <r>
      <rPr>
        <sz val="9"/>
        <color rgb="FF000000"/>
        <rFont val="맑은 고딕"/>
        <family val="3"/>
        <charset val="129"/>
      </rPr>
      <t>필터</t>
    </r>
  </si>
  <si>
    <r>
      <rPr>
        <sz val="9"/>
        <color rgb="FF000000"/>
        <rFont val="맑은 고딕"/>
        <family val="3"/>
        <charset val="129"/>
      </rPr>
      <t>최신</t>
    </r>
    <r>
      <rPr>
        <sz val="9"/>
        <color rgb="FF000000"/>
        <rFont val="Calibri"/>
        <family val="2"/>
      </rPr>
      <t xml:space="preserve"> </t>
    </r>
    <r>
      <rPr>
        <sz val="9"/>
        <color rgb="FF000000"/>
        <rFont val="맑은 고딕"/>
        <family val="3"/>
        <charset val="129"/>
      </rPr>
      <t>버전</t>
    </r>
  </si>
  <si>
    <r>
      <rPr>
        <sz val="9"/>
        <color rgb="FF000000"/>
        <rFont val="맑은 고딕"/>
        <family val="3"/>
        <charset val="129"/>
      </rPr>
      <t>퍼센트</t>
    </r>
    <r>
      <rPr>
        <sz val="9"/>
        <color rgb="FF000000"/>
        <rFont val="Calibri"/>
        <family val="2"/>
      </rPr>
      <t xml:space="preserve"> </t>
    </r>
    <r>
      <rPr>
        <sz val="9"/>
        <color rgb="FF000000"/>
        <rFont val="맑은 고딕"/>
        <family val="3"/>
        <charset val="129"/>
      </rPr>
      <t>지정</t>
    </r>
  </si>
  <si>
    <r>
      <rPr>
        <sz val="9"/>
        <color rgb="FF000000"/>
        <rFont val="돋움"/>
        <family val="3"/>
        <charset val="129"/>
      </rPr>
      <t>계획</t>
    </r>
    <r>
      <rPr>
        <sz val="9"/>
        <color rgb="FF000000"/>
        <rFont val="Calibri"/>
        <family val="2"/>
      </rPr>
      <t>__</t>
    </r>
    <r>
      <rPr>
        <sz val="9"/>
        <color rgb="FF000000"/>
        <rFont val="돋움"/>
        <family val="3"/>
        <charset val="129"/>
      </rPr>
      <t>기간</t>
    </r>
  </si>
  <si>
    <t>2.4.1</t>
  </si>
  <si>
    <r>
      <rPr>
        <sz val="9"/>
        <color rgb="FF000000"/>
        <rFont val="돋움"/>
        <family val="3"/>
        <charset val="129"/>
      </rPr>
      <t>총</t>
    </r>
    <r>
      <rPr>
        <sz val="9"/>
        <color rgb="FF000000"/>
        <rFont val="Calibri"/>
        <family val="2"/>
      </rPr>
      <t>__</t>
    </r>
    <r>
      <rPr>
        <sz val="9"/>
        <color rgb="FF000000"/>
        <rFont val="돋움"/>
        <family val="3"/>
        <charset val="129"/>
      </rPr>
      <t>작업량</t>
    </r>
  </si>
  <si>
    <t>구현준비</t>
  </si>
  <si>
    <r>
      <rPr>
        <sz val="9"/>
        <color rgb="FF000000"/>
        <rFont val="맑은 고딕"/>
        <family val="3"/>
        <charset val="129"/>
      </rPr>
      <t>특정</t>
    </r>
    <r>
      <rPr>
        <sz val="9"/>
        <color rgb="FF000000"/>
        <rFont val="Calibri"/>
        <family val="2"/>
      </rPr>
      <t xml:space="preserve"> </t>
    </r>
    <r>
      <rPr>
        <sz val="9"/>
        <color rgb="FF000000"/>
        <rFont val="맑은 고딕"/>
        <family val="3"/>
        <charset val="129"/>
      </rPr>
      <t>경로</t>
    </r>
  </si>
  <si>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정보</t>
    </r>
  </si>
  <si>
    <t>인수테스트실시</t>
  </si>
  <si>
    <r>
      <rPr>
        <sz val="9"/>
        <color rgb="FF000000"/>
        <rFont val="돋움"/>
        <family val="3"/>
        <charset val="129"/>
      </rPr>
      <t>총</t>
    </r>
    <r>
      <rPr>
        <sz val="9"/>
        <color rgb="FF000000"/>
        <rFont val="Calibri"/>
        <family val="2"/>
      </rPr>
      <t>__</t>
    </r>
    <r>
      <rPr>
        <sz val="9"/>
        <color rgb="FF000000"/>
        <rFont val="돋움"/>
        <family val="3"/>
        <charset val="129"/>
      </rPr>
      <t>기간</t>
    </r>
  </si>
  <si>
    <t>소프트웨어설치</t>
  </si>
  <si>
    <t>휴무일명</t>
  </si>
  <si>
    <t>테스트실시</t>
  </si>
  <si>
    <r>
      <rPr>
        <sz val="9"/>
        <color rgb="FF000000"/>
        <rFont val="맑은 고딕"/>
        <family val="3"/>
        <charset val="129"/>
      </rPr>
      <t>작업</t>
    </r>
    <r>
      <rPr>
        <sz val="9"/>
        <color rgb="FF000000"/>
        <rFont val="Calibri"/>
        <family val="2"/>
      </rPr>
      <t xml:space="preserve"> </t>
    </r>
    <r>
      <rPr>
        <sz val="9"/>
        <color rgb="FF000000"/>
        <rFont val="맑은 고딕"/>
        <family val="3"/>
        <charset val="129"/>
      </rPr>
      <t>정보</t>
    </r>
  </si>
  <si>
    <r>
      <rPr>
        <sz val="9"/>
        <color rgb="FF000000"/>
        <rFont val="맑은 고딕"/>
        <family val="3"/>
        <charset val="129"/>
      </rPr>
      <t>기간</t>
    </r>
    <r>
      <rPr>
        <sz val="9"/>
        <color rgb="FF000000"/>
        <rFont val="Calibri"/>
        <family val="2"/>
      </rPr>
      <t xml:space="preserve"> </t>
    </r>
    <r>
      <rPr>
        <sz val="9"/>
        <color rgb="FF000000"/>
        <rFont val="맑은 고딕"/>
        <family val="3"/>
        <charset val="129"/>
      </rPr>
      <t>지정</t>
    </r>
  </si>
  <si>
    <r>
      <rPr>
        <sz val="9"/>
        <color rgb="FF000000"/>
        <rFont val="맑은 고딕"/>
        <family val="3"/>
        <charset val="129"/>
      </rPr>
      <t>작업명</t>
    </r>
    <r>
      <rPr>
        <sz val="9"/>
        <color rgb="FF000000"/>
        <rFont val="Calibri"/>
        <family val="2"/>
      </rPr>
      <t xml:space="preserve"> </t>
    </r>
    <r>
      <rPr>
        <sz val="9"/>
        <color rgb="FF000000"/>
        <rFont val="맑은 고딕"/>
        <family val="3"/>
        <charset val="129"/>
      </rPr>
      <t>표시</t>
    </r>
  </si>
  <si>
    <t>12월 14일</t>
  </si>
  <si>
    <r>
      <rPr>
        <sz val="9"/>
        <color rgb="FF000000"/>
        <rFont val="맑은 고딕"/>
        <family val="3"/>
        <charset val="129"/>
      </rPr>
      <t>언어</t>
    </r>
    <r>
      <rPr>
        <sz val="9"/>
        <color rgb="FF000000"/>
        <rFont val="Calibri"/>
        <family val="2"/>
      </rPr>
      <t xml:space="preserve"> </t>
    </r>
    <r>
      <rPr>
        <sz val="9"/>
        <color rgb="FF000000"/>
        <rFont val="맑은 고딕"/>
        <family val="3"/>
        <charset val="129"/>
      </rPr>
      <t>추가</t>
    </r>
  </si>
  <si>
    <r>
      <rPr>
        <sz val="9"/>
        <color rgb="FF000000"/>
        <rFont val="맑은 고딕"/>
        <family val="3"/>
        <charset val="129"/>
      </rPr>
      <t>필터</t>
    </r>
    <r>
      <rPr>
        <sz val="9"/>
        <color rgb="FF000000"/>
        <rFont val="Calibri"/>
        <family val="2"/>
      </rPr>
      <t xml:space="preserve"> </t>
    </r>
    <r>
      <rPr>
        <sz val="9"/>
        <color rgb="FF000000"/>
        <rFont val="맑은 고딕"/>
        <family val="3"/>
        <charset val="129"/>
      </rPr>
      <t>적용</t>
    </r>
  </si>
  <si>
    <r>
      <rPr>
        <sz val="9"/>
        <color rgb="FF000000"/>
        <rFont val="맑은 고딕"/>
        <family val="3"/>
        <charset val="129"/>
      </rPr>
      <t>산출물</t>
    </r>
    <r>
      <rPr>
        <sz val="9"/>
        <color rgb="FF000000"/>
        <rFont val="Calibri"/>
        <family val="2"/>
      </rPr>
      <t xml:space="preserve"> </t>
    </r>
    <r>
      <rPr>
        <sz val="9"/>
        <color rgb="FF000000"/>
        <rFont val="맑은 고딕"/>
        <family val="3"/>
        <charset val="129"/>
      </rPr>
      <t>열기</t>
    </r>
  </si>
  <si>
    <r>
      <rPr>
        <sz val="9"/>
        <color rgb="FF000000"/>
        <rFont val="맑은 고딕"/>
        <family val="3"/>
        <charset val="129"/>
      </rPr>
      <t>릴리즈</t>
    </r>
    <r>
      <rPr>
        <sz val="9"/>
        <color rgb="FF000000"/>
        <rFont val="Calibri"/>
        <family val="2"/>
      </rPr>
      <t xml:space="preserve"> </t>
    </r>
    <r>
      <rPr>
        <sz val="9"/>
        <color rgb="FF000000"/>
        <rFont val="맑은 고딕"/>
        <family val="3"/>
        <charset val="129"/>
      </rPr>
      <t>일자</t>
    </r>
  </si>
  <si>
    <r>
      <rPr>
        <sz val="9"/>
        <color rgb="FF000000"/>
        <rFont val="맑은 고딕"/>
        <family val="3"/>
        <charset val="129"/>
      </rPr>
      <t>날짜</t>
    </r>
    <r>
      <rPr>
        <sz val="9"/>
        <color rgb="FF000000"/>
        <rFont val="Calibri"/>
        <family val="2"/>
      </rPr>
      <t xml:space="preserve"> </t>
    </r>
    <r>
      <rPr>
        <sz val="9"/>
        <color rgb="FF000000"/>
        <rFont val="맑은 고딕"/>
        <family val="3"/>
        <charset val="129"/>
      </rPr>
      <t>표시</t>
    </r>
  </si>
  <si>
    <r>
      <rPr>
        <sz val="9"/>
        <color rgb="FF000000"/>
        <rFont val="맑은 고딕"/>
        <family val="3"/>
        <charset val="129"/>
      </rPr>
      <t>계획</t>
    </r>
    <r>
      <rPr>
        <sz val="9"/>
        <color rgb="FF000000"/>
        <rFont val="Calibri"/>
        <family val="2"/>
      </rPr>
      <t>\n</t>
    </r>
    <r>
      <rPr>
        <sz val="9"/>
        <color rgb="FF000000"/>
        <rFont val="맑은 고딕"/>
        <family val="3"/>
        <charset val="129"/>
      </rPr>
      <t>작업량</t>
    </r>
  </si>
  <si>
    <r>
      <rPr>
        <sz val="9"/>
        <color rgb="FF000000"/>
        <rFont val="맑은 고딕"/>
        <family val="3"/>
        <charset val="129"/>
      </rPr>
      <t>업데이트</t>
    </r>
    <r>
      <rPr>
        <sz val="9"/>
        <color rgb="FF000000"/>
        <rFont val="Calibri"/>
        <family val="2"/>
      </rPr>
      <t xml:space="preserve"> </t>
    </r>
    <r>
      <rPr>
        <sz val="9"/>
        <color rgb="FF000000"/>
        <rFont val="맑은 고딕"/>
        <family val="3"/>
        <charset val="129"/>
      </rPr>
      <t>내용</t>
    </r>
  </si>
  <si>
    <r>
      <rPr>
        <sz val="9"/>
        <color rgb="FF000000"/>
        <rFont val="맑은 고딕"/>
        <family val="3"/>
        <charset val="129"/>
      </rPr>
      <t>가져오기</t>
    </r>
    <r>
      <rPr>
        <sz val="9"/>
        <color rgb="FF000000"/>
        <rFont val="Calibri"/>
        <family val="2"/>
      </rPr>
      <t xml:space="preserve"> </t>
    </r>
    <r>
      <rPr>
        <sz val="9"/>
        <color rgb="FF000000"/>
        <rFont val="맑은 고딕"/>
        <family val="3"/>
        <charset val="129"/>
      </rPr>
      <t>옵션</t>
    </r>
  </si>
  <si>
    <r>
      <rPr>
        <sz val="9"/>
        <color rgb="FF000000"/>
        <rFont val="맑은 고딕"/>
        <family val="3"/>
        <charset val="129"/>
      </rPr>
      <t>담당</t>
    </r>
    <r>
      <rPr>
        <sz val="9"/>
        <color rgb="FF000000"/>
        <rFont val="Calibri"/>
        <family val="2"/>
      </rPr>
      <t xml:space="preserve"> </t>
    </r>
    <r>
      <rPr>
        <sz val="9"/>
        <color rgb="FF000000"/>
        <rFont val="맑은 고딕"/>
        <family val="3"/>
        <charset val="129"/>
      </rPr>
      <t>표시</t>
    </r>
  </si>
  <si>
    <t>시스템오픈</t>
  </si>
  <si>
    <t>파워포인트</t>
  </si>
  <si>
    <t>DEFINED</t>
  </si>
  <si>
    <r>
      <rPr>
        <sz val="9"/>
        <color rgb="FF000000"/>
        <rFont val="맑은 고딕"/>
        <family val="3"/>
        <charset val="129"/>
      </rPr>
      <t>담당별</t>
    </r>
    <r>
      <rPr>
        <sz val="9"/>
        <color rgb="FF000000"/>
        <rFont val="Calibri"/>
        <family val="2"/>
      </rPr>
      <t xml:space="preserve"> </t>
    </r>
    <r>
      <rPr>
        <sz val="9"/>
        <color rgb="FF000000"/>
        <rFont val="맑은 고딕"/>
        <family val="3"/>
        <charset val="129"/>
      </rPr>
      <t>진행율</t>
    </r>
  </si>
  <si>
    <t>2.4.2.2</t>
  </si>
  <si>
    <t>주간보고2</t>
  </si>
  <si>
    <t>휴무일자</t>
  </si>
  <si>
    <t>2.1.2.2</t>
  </si>
  <si>
    <r>
      <rPr>
        <sz val="9"/>
        <color rgb="FF000000"/>
        <rFont val="돋움"/>
        <family val="3"/>
        <charset val="129"/>
      </rPr>
      <t>실제</t>
    </r>
    <r>
      <rPr>
        <sz val="9"/>
        <color rgb="FF000000"/>
        <rFont val="Calibri"/>
        <family val="2"/>
      </rPr>
      <t>__</t>
    </r>
    <r>
      <rPr>
        <sz val="9"/>
        <color rgb="FF000000"/>
        <rFont val="돋움"/>
        <family val="3"/>
        <charset val="129"/>
      </rPr>
      <t>완료일</t>
    </r>
  </si>
  <si>
    <t>12월 11일</t>
  </si>
  <si>
    <r>
      <rPr>
        <sz val="9"/>
        <color rgb="FF000000"/>
        <rFont val="맑은 고딕"/>
        <family val="3"/>
        <charset val="129"/>
      </rPr>
      <t>작업레벨</t>
    </r>
    <r>
      <rPr>
        <sz val="9"/>
        <color rgb="FF000000"/>
        <rFont val="Calibri"/>
        <family val="2"/>
      </rPr>
      <t xml:space="preserve"> </t>
    </r>
    <r>
      <rPr>
        <sz val="9"/>
        <color rgb="FF000000"/>
        <rFont val="맑은 고딕"/>
        <family val="3"/>
        <charset val="129"/>
      </rPr>
      <t>내림</t>
    </r>
  </si>
  <si>
    <t>2.3.2</t>
  </si>
  <si>
    <r>
      <rPr>
        <sz val="9"/>
        <color rgb="FF000000"/>
        <rFont val="맑은 고딕"/>
        <family val="3"/>
        <charset val="129"/>
      </rPr>
      <t>총</t>
    </r>
    <r>
      <rPr>
        <sz val="9"/>
        <color rgb="FF000000"/>
        <rFont val="Calibri"/>
        <family val="2"/>
      </rPr>
      <t>\n</t>
    </r>
    <r>
      <rPr>
        <sz val="9"/>
        <color rgb="FF000000"/>
        <rFont val="맑은 고딕"/>
        <family val="3"/>
        <charset val="129"/>
      </rPr>
      <t>작업량</t>
    </r>
  </si>
  <si>
    <t>차이(B-A)</t>
  </si>
  <si>
    <r>
      <rPr>
        <sz val="9"/>
        <color rgb="FF000000"/>
        <rFont val="돋움"/>
        <family val="3"/>
        <charset val="129"/>
      </rPr>
      <t>실제</t>
    </r>
    <r>
      <rPr>
        <sz val="9"/>
        <color rgb="FF000000"/>
        <rFont val="Calibri"/>
        <family val="2"/>
      </rPr>
      <t>__</t>
    </r>
    <r>
      <rPr>
        <sz val="9"/>
        <color rgb="FF000000"/>
        <rFont val="돋움"/>
        <family val="3"/>
        <charset val="129"/>
      </rPr>
      <t>시작일</t>
    </r>
  </si>
  <si>
    <r>
      <rPr>
        <sz val="9"/>
        <color rgb="FF000000"/>
        <rFont val="맑은 고딕"/>
        <family val="3"/>
        <charset val="129"/>
      </rPr>
      <t>실제</t>
    </r>
    <r>
      <rPr>
        <sz val="9"/>
        <color rgb="FF000000"/>
        <rFont val="Calibri"/>
        <family val="2"/>
      </rPr>
      <t>\n</t>
    </r>
    <r>
      <rPr>
        <sz val="9"/>
        <color rgb="FF000000"/>
        <rFont val="맑은 고딕"/>
        <family val="3"/>
        <charset val="129"/>
      </rPr>
      <t>시작일</t>
    </r>
  </si>
  <si>
    <t>프로그램명세서</t>
  </si>
  <si>
    <r>
      <rPr>
        <sz val="9"/>
        <color rgb="FF000000"/>
        <rFont val="돋움"/>
        <family val="3"/>
        <charset val="129"/>
      </rPr>
      <t>실제</t>
    </r>
    <r>
      <rPr>
        <sz val="9"/>
        <color rgb="FF000000"/>
        <rFont val="Calibri"/>
        <family val="2"/>
      </rPr>
      <t>__</t>
    </r>
    <r>
      <rPr>
        <sz val="9"/>
        <color rgb="FF000000"/>
        <rFont val="돋움"/>
        <family val="3"/>
        <charset val="129"/>
      </rPr>
      <t>총기간</t>
    </r>
  </si>
  <si>
    <t>아크로에디터</t>
  </si>
  <si>
    <t>2.4.2.1</t>
  </si>
  <si>
    <t>C:\Temp</t>
  </si>
  <si>
    <t>2.1.2</t>
  </si>
  <si>
    <r>
      <rPr>
        <sz val="9"/>
        <color rgb="FF000000"/>
        <rFont val="돋움"/>
        <family val="3"/>
        <charset val="129"/>
      </rPr>
      <t>계획</t>
    </r>
    <r>
      <rPr>
        <sz val="9"/>
        <color rgb="FF000000"/>
        <rFont val="Calibri"/>
        <family val="2"/>
      </rPr>
      <t>__</t>
    </r>
    <r>
      <rPr>
        <sz val="9"/>
        <color rgb="FF000000"/>
        <rFont val="돋움"/>
        <family val="3"/>
        <charset val="129"/>
      </rPr>
      <t>작업량</t>
    </r>
  </si>
  <si>
    <t>12월 18일</t>
  </si>
  <si>
    <t>12월 22일</t>
  </si>
  <si>
    <r>
      <rPr>
        <sz val="9"/>
        <color rgb="FF000000"/>
        <rFont val="맑은 고딕"/>
        <family val="3"/>
        <charset val="129"/>
      </rPr>
      <t>작업레벨</t>
    </r>
    <r>
      <rPr>
        <sz val="9"/>
        <color rgb="FF000000"/>
        <rFont val="Calibri"/>
        <family val="2"/>
      </rPr>
      <t xml:space="preserve"> </t>
    </r>
    <r>
      <rPr>
        <sz val="9"/>
        <color rgb="FF000000"/>
        <rFont val="맑은 고딕"/>
        <family val="3"/>
        <charset val="129"/>
      </rPr>
      <t>올림</t>
    </r>
  </si>
  <si>
    <t>2.3.2.1</t>
  </si>
  <si>
    <t>12월 12일</t>
  </si>
  <si>
    <t>12월 17일</t>
  </si>
  <si>
    <t>2.4.1.1</t>
  </si>
  <si>
    <t>11월 11일</t>
  </si>
  <si>
    <t>TODAY</t>
  </si>
  <si>
    <t>12월 15일</t>
  </si>
  <si>
    <t>자동지정</t>
  </si>
  <si>
    <r>
      <rPr>
        <sz val="9"/>
        <color rgb="FF000000"/>
        <rFont val="맑은 고딕"/>
        <family val="3"/>
        <charset val="129"/>
      </rPr>
      <t>실제</t>
    </r>
    <r>
      <rPr>
        <sz val="9"/>
        <color rgb="FF000000"/>
        <rFont val="Calibri"/>
        <family val="2"/>
      </rPr>
      <t>\n</t>
    </r>
    <r>
      <rPr>
        <sz val="9"/>
        <color rgb="FF000000"/>
        <rFont val="맑은 고딕"/>
        <family val="3"/>
        <charset val="129"/>
      </rPr>
      <t>총기간</t>
    </r>
  </si>
  <si>
    <t>12월 13일</t>
  </si>
  <si>
    <t>12월 21일</t>
  </si>
  <si>
    <t>12월 19일</t>
  </si>
  <si>
    <t>최종 발표</t>
  </si>
  <si>
    <t>주간보고3</t>
  </si>
  <si>
    <t>주간보고4</t>
  </si>
  <si>
    <t>1.2.5</t>
  </si>
  <si>
    <t>ppt*</t>
  </si>
  <si>
    <t>xls*</t>
  </si>
  <si>
    <t>주간보고1</t>
  </si>
  <si>
    <t>doc*</t>
  </si>
  <si>
    <t>표준캘린더</t>
  </si>
  <si>
    <t>12월 23일</t>
  </si>
  <si>
    <t>12월 20일</t>
  </si>
  <si>
    <r>
      <rPr>
        <sz val="9"/>
        <color rgb="FF000000"/>
        <rFont val="맑은 고딕"/>
        <family val="3"/>
        <charset val="129"/>
      </rPr>
      <t>실제</t>
    </r>
    <r>
      <rPr>
        <sz val="9"/>
        <color rgb="FF000000"/>
        <rFont val="Calibri"/>
        <family val="2"/>
      </rPr>
      <t>\n</t>
    </r>
    <r>
      <rPr>
        <sz val="9"/>
        <color rgb="FF000000"/>
        <rFont val="맑은 고딕"/>
        <family val="3"/>
        <charset val="129"/>
      </rPr>
      <t>완료일</t>
    </r>
  </si>
  <si>
    <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휴무일</t>
    </r>
    <r>
      <rPr>
        <sz val="9"/>
        <color rgb="FF000000"/>
        <rFont val="Calibri"/>
        <family val="2"/>
      </rPr>
      <t xml:space="preserve"> Calendar </t>
    </r>
    <r>
      <rPr>
        <sz val="9"/>
        <color rgb="FF000000"/>
        <rFont val="맑은 고딕"/>
        <family val="3"/>
        <charset val="129"/>
      </rPr>
      <t>설정</t>
    </r>
  </si>
  <si>
    <r>
      <t xml:space="preserve">* </t>
    </r>
    <r>
      <rPr>
        <sz val="9"/>
        <color rgb="FF000000"/>
        <rFont val="맑은 고딕"/>
        <family val="3"/>
        <charset val="129"/>
      </rPr>
      <t>담당별</t>
    </r>
    <r>
      <rPr>
        <sz val="9"/>
        <color rgb="FF000000"/>
        <rFont val="Calibri"/>
        <family val="2"/>
      </rPr>
      <t xml:space="preserve"> Workload</t>
    </r>
    <r>
      <rPr>
        <sz val="9"/>
        <color rgb="FF000000"/>
        <rFont val="맑은 고딕"/>
        <family val="3"/>
        <charset val="129"/>
      </rPr>
      <t>를</t>
    </r>
    <r>
      <rPr>
        <sz val="9"/>
        <color rgb="FF000000"/>
        <rFont val="Calibri"/>
        <family val="2"/>
      </rPr>
      <t xml:space="preserve"> </t>
    </r>
    <r>
      <rPr>
        <sz val="9"/>
        <color rgb="FF000000"/>
        <rFont val="맑은 고딕"/>
        <family val="3"/>
        <charset val="129"/>
      </rPr>
      <t>보여줍니다</t>
    </r>
    <r>
      <rPr>
        <sz val="9"/>
        <color rgb="FF000000"/>
        <rFont val="Calibri"/>
        <family val="2"/>
      </rPr>
      <t>.</t>
    </r>
  </si>
  <si>
    <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작업량과</t>
    </r>
    <r>
      <rPr>
        <sz val="9"/>
        <color rgb="FF000000"/>
        <rFont val="Calibri"/>
        <family val="2"/>
      </rPr>
      <t xml:space="preserve"> </t>
    </r>
    <r>
      <rPr>
        <sz val="9"/>
        <color rgb="FF000000"/>
        <rFont val="맑은 고딕"/>
        <family val="3"/>
        <charset val="129"/>
      </rPr>
      <t>진척율을</t>
    </r>
    <r>
      <rPr>
        <sz val="9"/>
        <color rgb="FF000000"/>
        <rFont val="Calibri"/>
        <family val="2"/>
      </rPr>
      <t xml:space="preserve"> </t>
    </r>
    <r>
      <rPr>
        <sz val="9"/>
        <color rgb="FF000000"/>
        <rFont val="맑은 고딕"/>
        <family val="3"/>
        <charset val="129"/>
      </rPr>
      <t>보여줍니다</t>
    </r>
    <r>
      <rPr>
        <sz val="9"/>
        <color rgb="FF000000"/>
        <rFont val="Calibri"/>
        <family val="2"/>
      </rPr>
      <t>.</t>
    </r>
  </si>
  <si>
    <r>
      <t>Outlook</t>
    </r>
    <r>
      <rPr>
        <sz val="9"/>
        <color rgb="FF000000"/>
        <rFont val="맑은 고딕"/>
        <family val="3"/>
        <charset val="129"/>
      </rPr>
      <t>일정이</t>
    </r>
    <r>
      <rPr>
        <sz val="9"/>
        <color rgb="FF000000"/>
        <rFont val="Calibri"/>
        <family val="2"/>
      </rPr>
      <t xml:space="preserve"> {}</t>
    </r>
    <r>
      <rPr>
        <sz val="9"/>
        <color rgb="FF000000"/>
        <rFont val="맑은 고딕"/>
        <family val="3"/>
        <charset val="129"/>
      </rPr>
      <t>건</t>
    </r>
    <r>
      <rPr>
        <sz val="9"/>
        <color rgb="FF000000"/>
        <rFont val="Calibri"/>
        <family val="2"/>
      </rPr>
      <t xml:space="preserve"> </t>
    </r>
    <r>
      <rPr>
        <sz val="9"/>
        <color rgb="FF000000"/>
        <rFont val="맑은 고딕"/>
        <family val="3"/>
        <charset val="129"/>
      </rPr>
      <t>등록되었습니다</t>
    </r>
    <r>
      <rPr>
        <sz val="9"/>
        <color rgb="FF000000"/>
        <rFont val="Calibri"/>
        <family val="2"/>
      </rPr>
      <t>.</t>
    </r>
  </si>
  <si>
    <r>
      <t>Outlook</t>
    </r>
    <r>
      <rPr>
        <sz val="9"/>
        <color rgb="FF000000"/>
        <rFont val="맑은 고딕"/>
        <family val="3"/>
        <charset val="129"/>
      </rPr>
      <t>작업이</t>
    </r>
    <r>
      <rPr>
        <sz val="9"/>
        <color rgb="FF000000"/>
        <rFont val="Calibri"/>
        <family val="2"/>
      </rPr>
      <t xml:space="preserve"> {}</t>
    </r>
    <r>
      <rPr>
        <sz val="9"/>
        <color rgb="FF000000"/>
        <rFont val="맑은 고딕"/>
        <family val="3"/>
        <charset val="129"/>
      </rPr>
      <t>건</t>
    </r>
    <r>
      <rPr>
        <sz val="9"/>
        <color rgb="FF000000"/>
        <rFont val="Calibri"/>
        <family val="2"/>
      </rPr>
      <t xml:space="preserve"> </t>
    </r>
    <r>
      <rPr>
        <sz val="9"/>
        <color rgb="FF000000"/>
        <rFont val="맑은 고딕"/>
        <family val="3"/>
        <charset val="129"/>
      </rPr>
      <t>등록되었습니다</t>
    </r>
    <r>
      <rPr>
        <sz val="9"/>
        <color rgb="FF000000"/>
        <rFont val="Calibri"/>
        <family val="2"/>
      </rPr>
      <t>.</t>
    </r>
  </si>
  <si>
    <r>
      <t>* "</t>
    </r>
    <r>
      <rPr>
        <sz val="9"/>
        <color rgb="FF000000"/>
        <rFont val="맑은 고딕"/>
        <family val="3"/>
        <charset val="129"/>
      </rPr>
      <t>계획진척율</t>
    </r>
    <r>
      <rPr>
        <sz val="9"/>
        <color rgb="FF000000"/>
        <rFont val="Calibri"/>
        <family val="2"/>
      </rPr>
      <t xml:space="preserve">" </t>
    </r>
    <r>
      <rPr>
        <sz val="9"/>
        <color rgb="FF000000"/>
        <rFont val="맑은 고딕"/>
        <family val="3"/>
        <charset val="129"/>
      </rPr>
      <t>메뉴를</t>
    </r>
    <r>
      <rPr>
        <sz val="9"/>
        <color rgb="FF000000"/>
        <rFont val="Calibri"/>
        <family val="2"/>
      </rPr>
      <t xml:space="preserve"> </t>
    </r>
    <r>
      <rPr>
        <sz val="9"/>
        <color rgb="FF000000"/>
        <rFont val="맑은 고딕"/>
        <family val="3"/>
        <charset val="129"/>
      </rPr>
      <t>클릭해야</t>
    </r>
    <r>
      <rPr>
        <sz val="9"/>
        <color rgb="FF000000"/>
        <rFont val="Calibri"/>
        <family val="2"/>
      </rPr>
      <t xml:space="preserve"> </t>
    </r>
    <r>
      <rPr>
        <sz val="9"/>
        <color rgb="FF000000"/>
        <rFont val="맑은 고딕"/>
        <family val="3"/>
        <charset val="129"/>
      </rPr>
      <t>갱신됨</t>
    </r>
  </si>
  <si>
    <r>
      <t>Bar chart</t>
    </r>
    <r>
      <rPr>
        <sz val="9"/>
        <color rgb="FF000000"/>
        <rFont val="맑은 고딕"/>
        <family val="3"/>
        <charset val="129"/>
      </rPr>
      <t>의</t>
    </r>
    <r>
      <rPr>
        <sz val="9"/>
        <color rgb="FF000000"/>
        <rFont val="Calibri"/>
        <family val="2"/>
      </rPr>
      <t xml:space="preserve"> </t>
    </r>
    <r>
      <rPr>
        <sz val="9"/>
        <color rgb="FF000000"/>
        <rFont val="맑은 고딕"/>
        <family val="3"/>
        <charset val="129"/>
      </rPr>
      <t>텍스트</t>
    </r>
    <r>
      <rPr>
        <sz val="9"/>
        <color rgb="FF000000"/>
        <rFont val="Calibri"/>
        <family val="2"/>
      </rPr>
      <t xml:space="preserve"> </t>
    </r>
    <r>
      <rPr>
        <sz val="9"/>
        <color rgb="FF000000"/>
        <rFont val="맑은 고딕"/>
        <family val="3"/>
        <charset val="129"/>
      </rPr>
      <t>표시</t>
    </r>
    <r>
      <rPr>
        <sz val="9"/>
        <color rgb="FF000000"/>
        <rFont val="Calibri"/>
        <family val="2"/>
      </rPr>
      <t xml:space="preserve"> </t>
    </r>
    <r>
      <rPr>
        <sz val="9"/>
        <color rgb="FF000000"/>
        <rFont val="맑은 고딕"/>
        <family val="3"/>
        <charset val="129"/>
      </rPr>
      <t>위치</t>
    </r>
  </si>
  <si>
    <r>
      <t>Level</t>
    </r>
    <r>
      <rPr>
        <sz val="9"/>
        <color rgb="FF000000"/>
        <rFont val="맑은 고딕"/>
        <family val="3"/>
        <charset val="129"/>
      </rPr>
      <t>별로</t>
    </r>
    <r>
      <rPr>
        <sz val="9"/>
        <color rgb="FF000000"/>
        <rFont val="Calibri"/>
        <family val="2"/>
      </rPr>
      <t xml:space="preserve"> </t>
    </r>
    <r>
      <rPr>
        <sz val="9"/>
        <color rgb="FF000000"/>
        <rFont val="맑은 고딕"/>
        <family val="3"/>
        <charset val="129"/>
      </rPr>
      <t>다른</t>
    </r>
    <r>
      <rPr>
        <sz val="9"/>
        <color rgb="FF000000"/>
        <rFont val="Calibri"/>
        <family val="2"/>
      </rPr>
      <t xml:space="preserve"> </t>
    </r>
    <r>
      <rPr>
        <sz val="9"/>
        <color rgb="FF000000"/>
        <rFont val="맑은 고딕"/>
        <family val="3"/>
        <charset val="129"/>
      </rPr>
      <t>필드에</t>
    </r>
    <r>
      <rPr>
        <sz val="9"/>
        <color rgb="FF000000"/>
        <rFont val="Calibri"/>
        <family val="2"/>
      </rPr>
      <t xml:space="preserve"> </t>
    </r>
    <r>
      <rPr>
        <sz val="9"/>
        <color rgb="FF000000"/>
        <rFont val="맑은 고딕"/>
        <family val="3"/>
        <charset val="129"/>
      </rPr>
      <t>작업명</t>
    </r>
    <r>
      <rPr>
        <sz val="9"/>
        <color rgb="FF000000"/>
        <rFont val="Calibri"/>
        <family val="2"/>
      </rPr>
      <t xml:space="preserve"> </t>
    </r>
    <r>
      <rPr>
        <sz val="9"/>
        <color rgb="FF000000"/>
        <rFont val="맑은 고딕"/>
        <family val="3"/>
        <charset val="129"/>
      </rPr>
      <t>표시</t>
    </r>
  </si>
  <si>
    <r>
      <t>Calendar sheet</t>
    </r>
    <r>
      <rPr>
        <sz val="9"/>
        <color rgb="FF000000"/>
        <rFont val="맑은 고딕"/>
        <family val="3"/>
        <charset val="129"/>
      </rPr>
      <t>에</t>
    </r>
    <r>
      <rPr>
        <sz val="9"/>
        <color rgb="FF000000"/>
        <rFont val="Calibri"/>
        <family val="2"/>
      </rPr>
      <t xml:space="preserve"> </t>
    </r>
    <r>
      <rPr>
        <sz val="9"/>
        <color rgb="FF000000"/>
        <rFont val="맑은 고딕"/>
        <family val="3"/>
        <charset val="129"/>
      </rPr>
      <t>입력된</t>
    </r>
    <r>
      <rPr>
        <sz val="9"/>
        <color rgb="FF000000"/>
        <rFont val="Calibri"/>
        <family val="2"/>
      </rPr>
      <t xml:space="preserve"> </t>
    </r>
    <r>
      <rPr>
        <sz val="9"/>
        <color rgb="FF000000"/>
        <rFont val="맑은 고딕"/>
        <family val="3"/>
        <charset val="129"/>
      </rPr>
      <t>날짜만</t>
    </r>
  </si>
  <si>
    <r>
      <t>Target</t>
    </r>
    <r>
      <rPr>
        <sz val="9"/>
        <color rgb="FF000000"/>
        <rFont val="맑은 고딕"/>
        <family val="3"/>
        <charset val="129"/>
      </rPr>
      <t>항목이</t>
    </r>
    <r>
      <rPr>
        <sz val="9"/>
        <color rgb="FF000000"/>
        <rFont val="Calibri"/>
        <family val="2"/>
      </rPr>
      <t xml:space="preserve"> </t>
    </r>
    <r>
      <rPr>
        <sz val="9"/>
        <color rgb="FF000000"/>
        <rFont val="맑은 고딕"/>
        <family val="3"/>
        <charset val="129"/>
      </rPr>
      <t>선택되지</t>
    </r>
    <r>
      <rPr>
        <sz val="9"/>
        <color rgb="FF000000"/>
        <rFont val="Calibri"/>
        <family val="2"/>
      </rPr>
      <t xml:space="preserve"> </t>
    </r>
    <r>
      <rPr>
        <sz val="9"/>
        <color rgb="FF000000"/>
        <rFont val="맑은 고딕"/>
        <family val="3"/>
        <charset val="129"/>
      </rPr>
      <t>않았습니다</t>
    </r>
    <r>
      <rPr>
        <sz val="9"/>
        <color rgb="FF000000"/>
        <rFont val="Calibri"/>
        <family val="2"/>
      </rPr>
      <t>.</t>
    </r>
  </si>
  <si>
    <r>
      <t xml:space="preserve">Gantt Chart </t>
    </r>
    <r>
      <rPr>
        <sz val="9"/>
        <color rgb="FF000000"/>
        <rFont val="맑은 고딕"/>
        <family val="3"/>
        <charset val="129"/>
      </rPr>
      <t>축소</t>
    </r>
    <r>
      <rPr>
        <sz val="9"/>
        <color rgb="FF000000"/>
        <rFont val="Calibri"/>
        <family val="2"/>
      </rPr>
      <t>/</t>
    </r>
    <r>
      <rPr>
        <sz val="9"/>
        <color rgb="FF000000"/>
        <rFont val="맑은 고딕"/>
        <family val="3"/>
        <charset val="129"/>
      </rPr>
      <t>확대</t>
    </r>
    <r>
      <rPr>
        <sz val="9"/>
        <color rgb="FF000000"/>
        <rFont val="Calibri"/>
        <family val="2"/>
      </rPr>
      <t xml:space="preserve"> </t>
    </r>
    <r>
      <rPr>
        <sz val="9"/>
        <color rgb="FF000000"/>
        <rFont val="맑은 고딕"/>
        <family val="3"/>
        <charset val="129"/>
      </rPr>
      <t>비율</t>
    </r>
  </si>
  <si>
    <r>
      <t>File</t>
    </r>
    <r>
      <rPr>
        <sz val="9"/>
        <color rgb="FF000000"/>
        <rFont val="맑은 고딕"/>
        <family val="3"/>
        <charset val="129"/>
      </rPr>
      <t>저장시</t>
    </r>
    <r>
      <rPr>
        <sz val="9"/>
        <color rgb="FF000000"/>
        <rFont val="Calibri"/>
        <family val="2"/>
      </rPr>
      <t xml:space="preserve"> WBS Update</t>
    </r>
    <r>
      <rPr>
        <sz val="9"/>
        <color rgb="FF000000"/>
        <rFont val="맑은 고딕"/>
        <family val="3"/>
        <charset val="129"/>
      </rPr>
      <t>실행</t>
    </r>
  </si>
  <si>
    <r>
      <t>{} Sheet</t>
    </r>
    <r>
      <rPr>
        <sz val="9"/>
        <color rgb="FF000000"/>
        <rFont val="맑은 고딕"/>
        <family val="3"/>
        <charset val="129"/>
      </rPr>
      <t>에서만</t>
    </r>
    <r>
      <rPr>
        <sz val="9"/>
        <color rgb="FF000000"/>
        <rFont val="Calibri"/>
        <family val="2"/>
      </rPr>
      <t xml:space="preserve"> </t>
    </r>
    <r>
      <rPr>
        <sz val="9"/>
        <color rgb="FF000000"/>
        <rFont val="맑은 고딕"/>
        <family val="3"/>
        <charset val="129"/>
      </rPr>
      <t>작업가능합니다</t>
    </r>
    <r>
      <rPr>
        <sz val="9"/>
        <color rgb="FF000000"/>
        <rFont val="Calibri"/>
        <family val="2"/>
      </rPr>
      <t>.</t>
    </r>
  </si>
  <si>
    <r>
      <t>XLGantt</t>
    </r>
    <r>
      <rPr>
        <sz val="9"/>
        <color rgb="FF000000"/>
        <rFont val="맑은 고딕"/>
        <family val="3"/>
        <charset val="129"/>
      </rPr>
      <t>로</t>
    </r>
    <r>
      <rPr>
        <sz val="9"/>
        <color rgb="FF000000"/>
        <rFont val="Calibri"/>
        <family val="2"/>
      </rPr>
      <t xml:space="preserve"> </t>
    </r>
    <r>
      <rPr>
        <sz val="9"/>
        <color rgb="FF000000"/>
        <rFont val="맑은 고딕"/>
        <family val="3"/>
        <charset val="129"/>
      </rPr>
      <t>작성된</t>
    </r>
    <r>
      <rPr>
        <sz val="9"/>
        <color rgb="FF000000"/>
        <rFont val="Calibri"/>
        <family val="2"/>
      </rPr>
      <t xml:space="preserve"> </t>
    </r>
    <r>
      <rPr>
        <sz val="9"/>
        <color rgb="FF000000"/>
        <rFont val="맑은 고딕"/>
        <family val="3"/>
        <charset val="129"/>
      </rPr>
      <t>파일</t>
    </r>
    <r>
      <rPr>
        <sz val="9"/>
        <color rgb="FF000000"/>
        <rFont val="Calibri"/>
        <family val="2"/>
      </rPr>
      <t xml:space="preserve"> </t>
    </r>
    <r>
      <rPr>
        <sz val="9"/>
        <color rgb="FF000000"/>
        <rFont val="맑은 고딕"/>
        <family val="3"/>
        <charset val="129"/>
      </rPr>
      <t>가져오기</t>
    </r>
  </si>
  <si>
    <r>
      <t>Source</t>
    </r>
    <r>
      <rPr>
        <sz val="9"/>
        <color rgb="FF000000"/>
        <rFont val="맑은 고딕"/>
        <family val="3"/>
        <charset val="129"/>
      </rPr>
      <t>항목이</t>
    </r>
    <r>
      <rPr>
        <sz val="9"/>
        <color rgb="FF000000"/>
        <rFont val="Calibri"/>
        <family val="2"/>
      </rPr>
      <t xml:space="preserve"> </t>
    </r>
    <r>
      <rPr>
        <sz val="9"/>
        <color rgb="FF000000"/>
        <rFont val="맑은 고딕"/>
        <family val="3"/>
        <charset val="129"/>
      </rPr>
      <t>선택되지</t>
    </r>
    <r>
      <rPr>
        <sz val="9"/>
        <color rgb="FF000000"/>
        <rFont val="Calibri"/>
        <family val="2"/>
      </rPr>
      <t xml:space="preserve"> </t>
    </r>
    <r>
      <rPr>
        <sz val="9"/>
        <color rgb="FF000000"/>
        <rFont val="맑은 고딕"/>
        <family val="3"/>
        <charset val="129"/>
      </rPr>
      <t>않았습니다</t>
    </r>
    <r>
      <rPr>
        <sz val="9"/>
        <color rgb="FF000000"/>
        <rFont val="Calibri"/>
        <family val="2"/>
      </rPr>
      <t>.</t>
    </r>
  </si>
  <si>
    <r>
      <t xml:space="preserve">Time bucket type </t>
    </r>
    <r>
      <rPr>
        <sz val="9"/>
        <color rgb="FF000000"/>
        <rFont val="맑은 고딕"/>
        <family val="3"/>
        <charset val="129"/>
      </rPr>
      <t>오류입니다</t>
    </r>
    <r>
      <rPr>
        <sz val="9"/>
        <color rgb="FF000000"/>
        <rFont val="Calibri"/>
        <family val="2"/>
      </rPr>
      <t>.</t>
    </r>
  </si>
  <si>
    <r>
      <rPr>
        <sz val="9"/>
        <color rgb="FF000000"/>
        <rFont val="맑은 고딕"/>
        <family val="3"/>
        <charset val="129"/>
      </rPr>
      <t>각</t>
    </r>
    <r>
      <rPr>
        <sz val="9"/>
        <color rgb="FF000000"/>
        <rFont val="Calibri"/>
        <family val="2"/>
      </rPr>
      <t xml:space="preserve"> </t>
    </r>
    <r>
      <rPr>
        <sz val="9"/>
        <color rgb="FF000000"/>
        <rFont val="맑은 고딕"/>
        <family val="3"/>
        <charset val="129"/>
      </rPr>
      <t>작업의</t>
    </r>
    <r>
      <rPr>
        <sz val="9"/>
        <color rgb="FF000000"/>
        <rFont val="Calibri"/>
        <family val="2"/>
      </rPr>
      <t xml:space="preserve"> </t>
    </r>
    <r>
      <rPr>
        <sz val="9"/>
        <color rgb="FF000000"/>
        <rFont val="맑은 고딕"/>
        <family val="3"/>
        <charset val="129"/>
      </rPr>
      <t>시작일을</t>
    </r>
    <r>
      <rPr>
        <sz val="9"/>
        <color rgb="FF000000"/>
        <rFont val="Calibri"/>
        <family val="2"/>
      </rPr>
      <t xml:space="preserve"> </t>
    </r>
    <r>
      <rPr>
        <sz val="9"/>
        <color rgb="FF000000"/>
        <rFont val="맑은 고딕"/>
        <family val="3"/>
        <charset val="129"/>
      </rPr>
      <t>표시합니다</t>
    </r>
    <r>
      <rPr>
        <sz val="9"/>
        <color rgb="FF000000"/>
        <rFont val="Calibri"/>
        <family val="2"/>
      </rPr>
      <t xml:space="preserve">. </t>
    </r>
    <r>
      <rPr>
        <sz val="9"/>
        <color rgb="FF000000"/>
        <rFont val="맑은 고딕"/>
        <family val="3"/>
        <charset val="129"/>
      </rPr>
      <t>반드시</t>
    </r>
    <r>
      <rPr>
        <sz val="9"/>
        <color rgb="FF000000"/>
        <rFont val="Calibri"/>
        <family val="2"/>
      </rPr>
      <t xml:space="preserve"> </t>
    </r>
    <r>
      <rPr>
        <sz val="9"/>
        <color rgb="FF000000"/>
        <rFont val="맑은 고딕"/>
        <family val="3"/>
        <charset val="129"/>
      </rPr>
      <t>날짜</t>
    </r>
    <r>
      <rPr>
        <sz val="9"/>
        <color rgb="FF000000"/>
        <rFont val="Calibri"/>
        <family val="2"/>
      </rPr>
      <t xml:space="preserve"> </t>
    </r>
    <r>
      <rPr>
        <sz val="9"/>
        <color rgb="FF000000"/>
        <rFont val="맑은 고딕"/>
        <family val="3"/>
        <charset val="129"/>
      </rPr>
      <t>형식이어야</t>
    </r>
    <r>
      <rPr>
        <sz val="9"/>
        <color rgb="FF000000"/>
        <rFont val="Calibri"/>
        <family val="2"/>
      </rPr>
      <t xml:space="preserve"> </t>
    </r>
    <r>
      <rPr>
        <sz val="9"/>
        <color rgb="FF000000"/>
        <rFont val="맑은 고딕"/>
        <family val="3"/>
        <charset val="129"/>
      </rPr>
      <t>합니다</t>
    </r>
    <r>
      <rPr>
        <sz val="9"/>
        <color rgb="FF000000"/>
        <rFont val="Calibri"/>
        <family val="2"/>
      </rPr>
      <t>.</t>
    </r>
  </si>
  <si>
    <t xml:space="preserve">Days counted as Nonworking days </t>
  </si>
  <si>
    <t>The project start date({}) you entered is not valid date format.</t>
  </si>
  <si>
    <t>Actual finish date is invalid. Verify row {} of the source file.</t>
  </si>
  <si>
    <t>You are using the latest version of XLGantt.\nCurrent Verison : {}</t>
  </si>
  <si>
    <t>The project finish date({}) you entered is not valid date format.</t>
  </si>
  <si>
    <t>통신 프로토콜 결정
서버 클라이언트 통신 방식 미리 정한 뒤에 실제 통신을 구현하지 않더라도 코딩할 수 있는 규칙 설정</t>
  </si>
  <si>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실제시작일만</t>
    </r>
    <r>
      <rPr>
        <sz val="9"/>
        <color rgb="FF000000"/>
        <rFont val="Calibri"/>
        <family val="2"/>
      </rPr>
      <t xml:space="preserve"> </t>
    </r>
    <r>
      <rPr>
        <sz val="9"/>
        <color rgb="FF000000"/>
        <rFont val="맑은 고딕"/>
        <family val="3"/>
        <charset val="129"/>
      </rPr>
      <t>입력하고</t>
    </r>
    <r>
      <rPr>
        <sz val="9"/>
        <color rgb="FF000000"/>
        <rFont val="Calibri"/>
        <family val="2"/>
      </rPr>
      <t xml:space="preserve"> </t>
    </r>
    <r>
      <rPr>
        <sz val="9"/>
        <color rgb="FF000000"/>
        <rFont val="맑은 고딕"/>
        <family val="3"/>
        <charset val="129"/>
      </rPr>
      <t>실제완료일을</t>
    </r>
    <r>
      <rPr>
        <sz val="9"/>
        <color rgb="FF000000"/>
        <rFont val="Calibri"/>
        <family val="2"/>
      </rPr>
      <t xml:space="preserve"> </t>
    </r>
    <r>
      <rPr>
        <sz val="9"/>
        <color rgb="FF000000"/>
        <rFont val="맑은 고딕"/>
        <family val="3"/>
        <charset val="129"/>
      </rPr>
      <t>비워놓으면</t>
    </r>
    <r>
      <rPr>
        <sz val="9"/>
        <color rgb="FF000000"/>
        <rFont val="Calibri"/>
        <family val="2"/>
      </rPr>
      <t xml:space="preserve"> </t>
    </r>
    <r>
      <rPr>
        <sz val="9"/>
        <color rgb="FF000000"/>
        <rFont val="맑은 고딕"/>
        <family val="3"/>
        <charset val="129"/>
      </rPr>
      <t>완료율을</t>
    </r>
    <r>
      <rPr>
        <sz val="9"/>
        <color rgb="FF000000"/>
        <rFont val="Calibri"/>
        <family val="2"/>
      </rPr>
      <t xml:space="preserve"> 100%</t>
    </r>
    <r>
      <rPr>
        <sz val="9"/>
        <color rgb="FF000000"/>
        <rFont val="맑은 고딕"/>
        <family val="3"/>
        <charset val="129"/>
      </rPr>
      <t>로</t>
    </r>
    <r>
      <rPr>
        <sz val="9"/>
        <color rgb="FF000000"/>
        <rFont val="Calibri"/>
        <family val="2"/>
      </rPr>
      <t xml:space="preserve"> </t>
    </r>
    <r>
      <rPr>
        <sz val="9"/>
        <color rgb="FF000000"/>
        <rFont val="맑은 고딕"/>
        <family val="3"/>
        <charset val="129"/>
      </rPr>
      <t>입력할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</si>
  <si>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t>Included in the selection\nlist when deliverables\nnot specified</t>
  </si>
  <si>
    <r>
      <t>Level</t>
    </r>
    <r>
      <rPr>
        <sz val="9"/>
        <color rgb="FF000000"/>
        <rFont val="맑은 고딕"/>
        <family val="3"/>
        <charset val="129"/>
      </rPr>
      <t>의</t>
    </r>
    <r>
      <rPr>
        <sz val="9"/>
        <color rgb="FF000000"/>
        <rFont val="Calibri"/>
        <family val="2"/>
      </rPr>
      <t xml:space="preserve"> </t>
    </r>
    <r>
      <rPr>
        <sz val="9"/>
        <color rgb="FF000000"/>
        <rFont val="맑은 고딕"/>
        <family val="3"/>
        <charset val="129"/>
      </rPr>
      <t>갯수</t>
    </r>
  </si>
  <si>
    <r>
      <t>Task</t>
    </r>
    <r>
      <rPr>
        <sz val="9"/>
        <color rgb="FF000000"/>
        <rFont val="맑은 고딕"/>
        <family val="3"/>
        <charset val="129"/>
      </rPr>
      <t>필드</t>
    </r>
    <r>
      <rPr>
        <sz val="9"/>
        <color rgb="FF000000"/>
        <rFont val="Calibri"/>
        <family val="2"/>
      </rPr>
      <t xml:space="preserve"> </t>
    </r>
    <r>
      <rPr>
        <sz val="9"/>
        <color rgb="FF000000"/>
        <rFont val="맑은 고딕"/>
        <family val="3"/>
        <charset val="129"/>
      </rPr>
      <t>유형</t>
    </r>
  </si>
  <si>
    <r>
      <t>WBS</t>
    </r>
    <r>
      <rPr>
        <sz val="9"/>
        <color rgb="FF000000"/>
        <rFont val="맑은 고딕"/>
        <family val="3"/>
        <charset val="129"/>
      </rPr>
      <t>영역</t>
    </r>
    <r>
      <rPr>
        <sz val="9"/>
        <color rgb="FF000000"/>
        <rFont val="Calibri"/>
        <family val="2"/>
      </rPr>
      <t xml:space="preserve"> </t>
    </r>
    <r>
      <rPr>
        <sz val="9"/>
        <color rgb="FF000000"/>
        <rFont val="맑은 고딕"/>
        <family val="3"/>
        <charset val="129"/>
      </rPr>
      <t>표시방법</t>
    </r>
  </si>
  <si>
    <t>프로젝트 범위 수정       1, 2차 구현 계획 수립</t>
  </si>
  <si>
    <t>2차 프로젝트 계획 수립 및 착수보고(Kick off)</t>
  </si>
  <si>
    <t>Not Managing Schedule Changes</t>
  </si>
  <si>
    <t>You didn't choose a language.</t>
  </si>
  <si>
    <t>Name:taskNameDisplayPosition</t>
  </si>
  <si>
    <t>It's already chosen language.</t>
  </si>
  <si>
    <t>Importing..., Please wait...</t>
  </si>
  <si>
    <r>
      <rPr>
        <sz val="9"/>
        <color rgb="FF000000"/>
        <rFont val="맑은 고딕"/>
        <family val="3"/>
        <charset val="129"/>
      </rPr>
      <t>이</t>
    </r>
    <r>
      <rPr>
        <sz val="9"/>
        <color rgb="FF000000"/>
        <rFont val="Calibri"/>
        <family val="2"/>
      </rPr>
      <t xml:space="preserve"> Sheet</t>
    </r>
    <r>
      <rPr>
        <sz val="9"/>
        <color rgb="FF000000"/>
        <rFont val="맑은 고딕"/>
        <family val="3"/>
        <charset val="129"/>
      </rPr>
      <t>에서</t>
    </r>
    <r>
      <rPr>
        <sz val="9"/>
        <color rgb="FF000000"/>
        <rFont val="Calibri"/>
        <family val="2"/>
      </rPr>
      <t xml:space="preserve"> </t>
    </r>
    <r>
      <rPr>
        <sz val="9"/>
        <color rgb="FF000000"/>
        <rFont val="맑은 고딕"/>
        <family val="3"/>
        <charset val="129"/>
      </rPr>
      <t>프로젝트</t>
    </r>
    <r>
      <rPr>
        <sz val="9"/>
        <color rgb="FF000000"/>
        <rFont val="Calibri"/>
        <family val="2"/>
      </rPr>
      <t xml:space="preserve"> Calendar</t>
    </r>
    <r>
      <rPr>
        <sz val="9"/>
        <color rgb="FF000000"/>
        <rFont val="맑은 고딕"/>
        <family val="3"/>
        <charset val="129"/>
      </rPr>
      <t>를</t>
    </r>
    <r>
      <rPr>
        <sz val="9"/>
        <color rgb="FF000000"/>
        <rFont val="Calibri"/>
        <family val="2"/>
      </rPr>
      <t xml:space="preserve"> </t>
    </r>
    <r>
      <rPr>
        <sz val="9"/>
        <color rgb="FF000000"/>
        <rFont val="맑은 고딕"/>
        <family val="3"/>
        <charset val="129"/>
      </rPr>
      <t>설정하세요</t>
    </r>
    <r>
      <rPr>
        <sz val="9"/>
        <color rgb="FF000000"/>
        <rFont val="Calibri"/>
        <family val="2"/>
      </rPr>
      <t>.</t>
    </r>
  </si>
  <si>
    <t>You can not indent any more!</t>
  </si>
  <si>
    <t>Import files created in XLGantt</t>
  </si>
  <si>
    <t>Actual start date is invalid.</t>
  </si>
  <si>
    <t>Name:completeTaskGrayDisplay</t>
  </si>
  <si>
    <t>Error, Invalid field specified.</t>
  </si>
  <si>
    <t>Total workload of the project</t>
  </si>
  <si>
    <t>The deliverables name is empty.</t>
  </si>
  <si>
    <t>Actual finish date is invalid.</t>
  </si>
  <si>
    <t>Choose the Type of Deliverables</t>
  </si>
  <si>
    <t>Name:optPlanRateCriteriaDate</t>
  </si>
  <si>
    <t>Bar chart Text Display Position</t>
  </si>
  <si>
    <t>Choose a file type to import</t>
  </si>
  <si>
    <t>Name:optGanttChartColumnDisplay</t>
  </si>
  <si>
    <t>You can not outdent any more!</t>
  </si>
  <si>
    <t>Display Planned %Work Complete</t>
  </si>
  <si>
    <r>
      <rPr>
        <sz val="9"/>
        <color rgb="FF000000"/>
        <rFont val="맑은 고딕"/>
        <family val="3"/>
        <charset val="129"/>
      </rPr>
      <t>계획</t>
    </r>
    <r>
      <rPr>
        <sz val="9"/>
        <color rgb="FF000000"/>
        <rFont val="Calibri"/>
        <family val="2"/>
      </rPr>
      <t xml:space="preserve"> </t>
    </r>
    <r>
      <rPr>
        <sz val="9"/>
        <color rgb="FF000000"/>
        <rFont val="맑은 고딕"/>
        <family val="3"/>
        <charset val="129"/>
      </rPr>
      <t xml:space="preserve">작업량
</t>
    </r>
    <r>
      <rPr>
        <sz val="9"/>
        <color rgb="FF000000"/>
        <rFont val="Calibri"/>
        <family val="2"/>
      </rPr>
      <t>(</t>
    </r>
    <r>
      <rPr>
        <sz val="9"/>
        <color rgb="FF000000"/>
        <rFont val="맑은 고딕"/>
        <family val="3"/>
        <charset val="129"/>
      </rPr>
      <t>현재일까지</t>
    </r>
    <r>
      <rPr>
        <sz val="9"/>
        <color rgb="FF000000"/>
        <rFont val="Calibri"/>
        <family val="2"/>
      </rPr>
      <t xml:space="preserve">ManDay,
</t>
    </r>
    <r>
      <rPr>
        <sz val="9"/>
        <color rgb="FF000000"/>
        <rFont val="맑은 고딕"/>
        <family val="3"/>
        <charset val="129"/>
      </rPr>
      <t>가중치</t>
    </r>
    <r>
      <rPr>
        <sz val="9"/>
        <color rgb="FF000000"/>
        <rFont val="Calibri"/>
        <family val="2"/>
      </rPr>
      <t xml:space="preserve"> </t>
    </r>
    <r>
      <rPr>
        <sz val="9"/>
        <color rgb="FF000000"/>
        <rFont val="맑은 고딕"/>
        <family val="3"/>
        <charset val="129"/>
      </rPr>
      <t>감안</t>
    </r>
    <r>
      <rPr>
        <sz val="9"/>
        <color rgb="FF000000"/>
        <rFont val="Calibri"/>
        <family val="2"/>
      </rPr>
      <t>)</t>
    </r>
  </si>
  <si>
    <t xml:space="preserve">Check for Updates on Startup </t>
  </si>
  <si>
    <t>Name:setTaskDateToProjectDate</t>
  </si>
  <si>
    <t>OPTIONS_DELIVERABLES_PGM_PATH</t>
  </si>
  <si>
    <t>Name:languageSelectedByManual</t>
  </si>
  <si>
    <t xml:space="preserve">라즈베리파이(서버)
주기적으로 서버에 접속하는 기능 </t>
  </si>
  <si>
    <t>Set saving path of deliverables</t>
  </si>
  <si>
    <t>The level of row {} is invalid.</t>
  </si>
  <si>
    <t>Time bucket type is invalid.</t>
  </si>
  <si>
    <r>
      <rPr>
        <sz val="9"/>
        <color rgb="FF000000"/>
        <rFont val="맑은 고딕"/>
        <family val="3"/>
        <charset val="129"/>
      </rPr>
      <t>작업영역이</t>
    </r>
    <r>
      <rPr>
        <sz val="9"/>
        <color rgb="FF000000"/>
        <rFont val="Calibri"/>
        <family val="2"/>
      </rPr>
      <t xml:space="preserve"> </t>
    </r>
    <r>
      <rPr>
        <sz val="9"/>
        <color rgb="FF000000"/>
        <rFont val="맑은 고딕"/>
        <family val="3"/>
        <charset val="129"/>
      </rPr>
      <t>선택되지</t>
    </r>
    <r>
      <rPr>
        <sz val="9"/>
        <color rgb="FF000000"/>
        <rFont val="Calibri"/>
        <family val="2"/>
      </rPr>
      <t xml:space="preserve"> </t>
    </r>
    <r>
      <rPr>
        <sz val="9"/>
        <color rgb="FF000000"/>
        <rFont val="맑은 고딕"/>
        <family val="3"/>
        <charset val="129"/>
      </rPr>
      <t>않았습니다</t>
    </r>
    <r>
      <rPr>
        <sz val="9"/>
        <color rgb="FF000000"/>
        <rFont val="Calibri"/>
        <family val="2"/>
      </rPr>
      <t xml:space="preserve">. </t>
    </r>
    <r>
      <rPr>
        <sz val="9"/>
        <color rgb="FF000000"/>
        <rFont val="맑은 고딕"/>
        <family val="3"/>
        <charset val="129"/>
      </rPr>
      <t>영역을</t>
    </r>
    <r>
      <rPr>
        <sz val="9"/>
        <color rgb="FF000000"/>
        <rFont val="Calibri"/>
        <family val="2"/>
      </rPr>
      <t xml:space="preserve"> </t>
    </r>
    <r>
      <rPr>
        <sz val="9"/>
        <color rgb="FF000000"/>
        <rFont val="맑은 고딕"/>
        <family val="3"/>
        <charset val="129"/>
      </rPr>
      <t>선택하세요</t>
    </r>
    <r>
      <rPr>
        <sz val="9"/>
        <color rgb="FF000000"/>
        <rFont val="Calibri"/>
        <family val="2"/>
      </rPr>
      <t>.</t>
    </r>
  </si>
  <si>
    <r>
      <rPr>
        <sz val="9"/>
        <color rgb="FF000000"/>
        <rFont val="맑은 고딕"/>
        <family val="3"/>
        <charset val="129"/>
      </rPr>
      <t>입력한</t>
    </r>
    <r>
      <rPr>
        <sz val="9"/>
        <color rgb="FF000000"/>
        <rFont val="Calibri"/>
        <family val="2"/>
      </rPr>
      <t xml:space="preserve"> </t>
    </r>
    <r>
      <rPr>
        <sz val="9"/>
        <color rgb="FF000000"/>
        <rFont val="맑은 고딕"/>
        <family val="3"/>
        <charset val="129"/>
      </rPr>
      <t>산출물을</t>
    </r>
    <r>
      <rPr>
        <sz val="9"/>
        <color rgb="FF000000"/>
        <rFont val="Calibri"/>
        <family val="2"/>
      </rPr>
      <t xml:space="preserve"> </t>
    </r>
    <r>
      <rPr>
        <sz val="9"/>
        <color rgb="FF000000"/>
        <rFont val="맑은 고딕"/>
        <family val="3"/>
        <charset val="129"/>
      </rPr>
      <t>열</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있는</t>
    </r>
    <r>
      <rPr>
        <sz val="9"/>
        <color rgb="FF000000"/>
        <rFont val="Calibri"/>
        <family val="2"/>
      </rPr>
      <t xml:space="preserve"> </t>
    </r>
    <r>
      <rPr>
        <sz val="9"/>
        <color rgb="FF000000"/>
        <rFont val="맑은 고딕"/>
        <family val="3"/>
        <charset val="129"/>
      </rPr>
      <t>실행프로그램이</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</si>
  <si>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계획진척율</t>
    </r>
    <r>
      <rPr>
        <sz val="9"/>
        <color rgb="FF000000"/>
        <rFont val="Calibri"/>
        <family val="2"/>
      </rPr>
      <t xml:space="preserve"> </t>
    </r>
    <r>
      <rPr>
        <sz val="9"/>
        <color rgb="FF000000"/>
        <rFont val="맑은 고딕"/>
        <family val="3"/>
        <charset val="129"/>
      </rPr>
      <t>계산</t>
    </r>
    <r>
      <rPr>
        <sz val="9"/>
        <color rgb="FF000000"/>
        <rFont val="Calibri"/>
        <family val="2"/>
      </rPr>
      <t xml:space="preserve"> </t>
    </r>
    <r>
      <rPr>
        <sz val="9"/>
        <color rgb="FF000000"/>
        <rFont val="맑은 고딕"/>
        <family val="3"/>
        <charset val="129"/>
      </rPr>
      <t>기준일자의</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</si>
  <si>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t>Release 및 Contingency plan수립</t>
  </si>
  <si>
    <r>
      <rPr>
        <sz val="9"/>
        <color rgb="FF000000"/>
        <rFont val="맑은 고딕"/>
        <family val="3"/>
        <charset val="129"/>
      </rPr>
      <t>입력된</t>
    </r>
    <r>
      <rPr>
        <sz val="9"/>
        <color rgb="FF000000"/>
        <rFont val="Calibri"/>
        <family val="2"/>
      </rPr>
      <t xml:space="preserve"> </t>
    </r>
    <r>
      <rPr>
        <sz val="9"/>
        <color rgb="FF000000"/>
        <rFont val="맑은 고딕"/>
        <family val="3"/>
        <charset val="129"/>
      </rPr>
      <t>자료가</t>
    </r>
    <r>
      <rPr>
        <sz val="9"/>
        <color rgb="FF000000"/>
        <rFont val="Calibri"/>
        <family val="2"/>
      </rPr>
      <t xml:space="preserve"> </t>
    </r>
    <r>
      <rPr>
        <sz val="9"/>
        <color rgb="FF000000"/>
        <rFont val="맑은 고딕"/>
        <family val="3"/>
        <charset val="129"/>
      </rPr>
      <t>없습니다</t>
    </r>
    <r>
      <rPr>
        <sz val="9"/>
        <color rgb="FF000000"/>
        <rFont val="Calibri"/>
        <family val="2"/>
      </rPr>
      <t xml:space="preserve">. </t>
    </r>
    <r>
      <rPr>
        <sz val="9"/>
        <color rgb="FF000000"/>
        <rFont val="맑은 고딕"/>
        <family val="3"/>
        <charset val="129"/>
      </rPr>
      <t>입력</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서식재설정</t>
    </r>
    <r>
      <rPr>
        <sz val="9"/>
        <color rgb="FF000000"/>
        <rFont val="Calibri"/>
        <family val="2"/>
      </rPr>
      <t xml:space="preserve"> </t>
    </r>
    <r>
      <rPr>
        <sz val="9"/>
        <color rgb="FF000000"/>
        <rFont val="맑은 고딕"/>
        <family val="3"/>
        <charset val="129"/>
      </rPr>
      <t>해</t>
    </r>
    <r>
      <rPr>
        <sz val="9"/>
        <color rgb="FF000000"/>
        <rFont val="Calibri"/>
        <family val="2"/>
      </rPr>
      <t xml:space="preserve"> </t>
    </r>
    <r>
      <rPr>
        <sz val="9"/>
        <color rgb="FF000000"/>
        <rFont val="맑은 고딕"/>
        <family val="3"/>
        <charset val="129"/>
      </rPr>
      <t>주세요</t>
    </r>
    <r>
      <rPr>
        <sz val="9"/>
        <color rgb="FF000000"/>
        <rFont val="Calibri"/>
        <family val="2"/>
      </rPr>
      <t>.</t>
    </r>
  </si>
  <si>
    <r>
      <rPr>
        <sz val="9"/>
        <color rgb="FF000000"/>
        <rFont val="맑은 고딕"/>
        <family val="3"/>
        <charset val="129"/>
      </rPr>
      <t>스케줄업데이트</t>
    </r>
    <r>
      <rPr>
        <sz val="9"/>
        <color rgb="FF000000"/>
        <rFont val="Calibri"/>
        <family val="2"/>
      </rPr>
      <t xml:space="preserve"> </t>
    </r>
    <r>
      <rPr>
        <sz val="9"/>
        <color rgb="FF000000"/>
        <rFont val="맑은 고딕"/>
        <family val="3"/>
        <charset val="129"/>
      </rPr>
      <t>중입니다</t>
    </r>
    <r>
      <rPr>
        <sz val="9"/>
        <color rgb="FF000000"/>
        <rFont val="Calibri"/>
        <family val="2"/>
      </rPr>
      <t>...\n</t>
    </r>
    <r>
      <rPr>
        <sz val="9"/>
        <color rgb="FF000000"/>
        <rFont val="맑은 고딕"/>
        <family val="3"/>
        <charset val="129"/>
      </rPr>
      <t>잠시만</t>
    </r>
    <r>
      <rPr>
        <sz val="9"/>
        <color rgb="FF000000"/>
        <rFont val="Calibri"/>
        <family val="2"/>
      </rPr>
      <t xml:space="preserve"> </t>
    </r>
    <r>
      <rPr>
        <sz val="9"/>
        <color rgb="FF000000"/>
        <rFont val="맑은 고딕"/>
        <family val="3"/>
        <charset val="129"/>
      </rPr>
      <t>기다려</t>
    </r>
    <r>
      <rPr>
        <sz val="9"/>
        <color rgb="FF000000"/>
        <rFont val="Calibri"/>
        <family val="2"/>
      </rPr>
      <t xml:space="preserve"> </t>
    </r>
    <r>
      <rPr>
        <sz val="9"/>
        <color rgb="FF000000"/>
        <rFont val="맑은 고딕"/>
        <family val="3"/>
        <charset val="129"/>
      </rPr>
      <t>주세요</t>
    </r>
    <r>
      <rPr>
        <sz val="9"/>
        <color rgb="FF000000"/>
        <rFont val="Calibri"/>
        <family val="2"/>
      </rPr>
      <t>...</t>
    </r>
  </si>
  <si>
    <t>C:\WINDOWS\system32\notepad.exe</t>
  </si>
  <si>
    <t>Planned Work\n(ManDay to Today)</t>
  </si>
  <si>
    <t>프로젝트 전체 설명 자료(전체 개요를 그림으로 표현)</t>
  </si>
  <si>
    <r>
      <t xml:space="preserve"> Mapping</t>
    </r>
    <r>
      <rPr>
        <sz val="9"/>
        <color rgb="FF000000"/>
        <rFont val="맑은 고딕"/>
        <family val="3"/>
        <charset val="129"/>
      </rPr>
      <t>된</t>
    </r>
    <r>
      <rPr>
        <sz val="9"/>
        <color rgb="FF000000"/>
        <rFont val="Calibri"/>
        <family val="2"/>
      </rPr>
      <t xml:space="preserve"> </t>
    </r>
    <r>
      <rPr>
        <sz val="9"/>
        <color rgb="FF000000"/>
        <rFont val="맑은 고딕"/>
        <family val="3"/>
        <charset val="129"/>
      </rPr>
      <t>상태</t>
    </r>
  </si>
  <si>
    <r>
      <t>&lt;&lt; Mapping</t>
    </r>
    <r>
      <rPr>
        <sz val="9"/>
        <color rgb="FF000000"/>
        <rFont val="맑은 고딕"/>
        <family val="3"/>
        <charset val="129"/>
      </rPr>
      <t>취소</t>
    </r>
  </si>
  <si>
    <r>
      <t>MS Outlook</t>
    </r>
    <r>
      <rPr>
        <sz val="9"/>
        <color rgb="FF000000"/>
        <rFont val="맑은 고딕"/>
        <family val="3"/>
        <charset val="129"/>
      </rPr>
      <t>작업</t>
    </r>
    <r>
      <rPr>
        <sz val="9"/>
        <color rgb="FF000000"/>
        <rFont val="Calibri"/>
        <family val="2"/>
      </rPr>
      <t xml:space="preserve"> </t>
    </r>
    <r>
      <rPr>
        <sz val="9"/>
        <color rgb="FF000000"/>
        <rFont val="맑은 고딕"/>
        <family val="3"/>
        <charset val="129"/>
      </rPr>
      <t>등록</t>
    </r>
  </si>
  <si>
    <r>
      <t>MS Outlook</t>
    </r>
    <r>
      <rPr>
        <sz val="9"/>
        <color rgb="FF000000"/>
        <rFont val="맑은 고딕"/>
        <family val="3"/>
        <charset val="129"/>
      </rPr>
      <t>일정</t>
    </r>
    <r>
      <rPr>
        <sz val="9"/>
        <color rgb="FF000000"/>
        <rFont val="Calibri"/>
        <family val="2"/>
      </rPr>
      <t xml:space="preserve"> </t>
    </r>
    <r>
      <rPr>
        <sz val="9"/>
        <color rgb="FF000000"/>
        <rFont val="맑은 고딕"/>
        <family val="3"/>
        <charset val="129"/>
      </rPr>
      <t>등록</t>
    </r>
  </si>
  <si>
    <r>
      <t>Workload(</t>
    </r>
    <r>
      <rPr>
        <sz val="9"/>
        <color rgb="FF000000"/>
        <rFont val="맑은 고딕"/>
        <family val="3"/>
        <charset val="129"/>
      </rPr>
      <t>담당별</t>
    </r>
    <r>
      <rPr>
        <sz val="9"/>
        <color rgb="FF000000"/>
        <rFont val="Calibri"/>
        <family val="2"/>
      </rPr>
      <t>)</t>
    </r>
  </si>
  <si>
    <r>
      <t>Workload</t>
    </r>
    <r>
      <rPr>
        <sz val="9"/>
        <color rgb="FF000000"/>
        <rFont val="맑은 고딕"/>
        <family val="3"/>
        <charset val="129"/>
      </rPr>
      <t>현황</t>
    </r>
    <r>
      <rPr>
        <sz val="9"/>
        <color rgb="FF000000"/>
        <rFont val="Calibri"/>
        <family val="2"/>
      </rPr>
      <t>({})</t>
    </r>
  </si>
  <si>
    <r>
      <t>Workload(</t>
    </r>
    <r>
      <rPr>
        <sz val="9"/>
        <color rgb="FF000000"/>
        <rFont val="맑은 고딕"/>
        <family val="3"/>
        <charset val="129"/>
      </rPr>
      <t>월별</t>
    </r>
    <r>
      <rPr>
        <sz val="9"/>
        <color rgb="FF000000"/>
        <rFont val="Calibri"/>
        <family val="2"/>
      </rPr>
      <t>)</t>
    </r>
  </si>
  <si>
    <r>
      <t>Workload(</t>
    </r>
    <r>
      <rPr>
        <sz val="9"/>
        <color rgb="FF000000"/>
        <rFont val="맑은 고딕"/>
        <family val="3"/>
        <charset val="129"/>
      </rPr>
      <t>주별</t>
    </r>
    <r>
      <rPr>
        <sz val="9"/>
        <color rgb="FF000000"/>
        <rFont val="Calibri"/>
        <family val="2"/>
      </rPr>
      <t>)</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</si>
  <si>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추석</t>
    </r>
    <r>
      <rPr>
        <sz val="11"/>
        <color rgb="FF000000"/>
        <rFont val="Calibri"/>
        <family val="2"/>
      </rPr>
      <t xml:space="preserve"> </t>
    </r>
    <r>
      <rPr>
        <sz val="11"/>
        <color rgb="FF000000"/>
        <rFont val="맑은 고딕"/>
        <family val="3"/>
        <charset val="129"/>
      </rPr>
      <t>대체휴일</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</si>
  <si>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어린이날</t>
    </r>
    <r>
      <rPr>
        <sz val="11"/>
        <color rgb="FF000000"/>
        <rFont val="Calibri"/>
        <family val="2"/>
      </rPr>
      <t xml:space="preserve"> </t>
    </r>
    <r>
      <rPr>
        <sz val="11"/>
        <color rgb="FF000000"/>
        <rFont val="맑은 고딕"/>
        <family val="3"/>
        <charset val="129"/>
      </rPr>
      <t>대체휴일</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</si>
  <si>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어린이날</t>
    </r>
    <r>
      <rPr>
        <sz val="11"/>
        <color rgb="FF000000"/>
        <rFont val="Calibri"/>
        <family val="2"/>
      </rPr>
      <t xml:space="preserve"> </t>
    </r>
    <r>
      <rPr>
        <sz val="11"/>
        <color rgb="FF000000"/>
        <rFont val="맑은 고딕"/>
        <family val="3"/>
        <charset val="129"/>
      </rPr>
      <t>대체휴일</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</si>
  <si>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부처님오신날</t>
    </r>
  </si>
  <si>
    <t>{"TASK_FIRST_COL":"5","START_ROW":"5","WBS_AREA_LAST_COL":"28"}</t>
    <phoneticPr fontId="40" type="noConversion"/>
  </si>
  <si>
    <t>SCHEDULE_SHEET_POSITION:3545121314151617181920212223242526272829</t>
    <phoneticPr fontId="40" type="noConversion"/>
  </si>
  <si>
    <t>클라이언트- 서버 정의</t>
  </si>
  <si>
    <t>통신 동작 모델 구축</t>
  </si>
  <si>
    <t>HTTP 통신</t>
  </si>
  <si>
    <t>테이블 목적과 칼럼 구축</t>
  </si>
  <si>
    <t>OracleDB</t>
  </si>
  <si>
    <t>웹페이지에 DB 연동값 표현</t>
  </si>
  <si>
    <t>MES 시스템 조회 페이지, 
로그 페이지</t>
  </si>
  <si>
    <t>클라이언트(rasberry), 서버(웹)</t>
  </si>
  <si>
    <t>반도체 제조 공정 흐름 설계</t>
  </si>
  <si>
    <t>reserved</t>
    <phoneticPr fontId="40" type="noConversion"/>
  </si>
  <si>
    <t>task_group</t>
    <phoneticPr fontId="40" type="noConversion"/>
  </si>
  <si>
    <t>wbs_level</t>
    <phoneticPr fontId="40" type="noConversion"/>
  </si>
  <si>
    <t>WBS</t>
    <phoneticPr fontId="40" type="noConversion"/>
  </si>
  <si>
    <t>작업*</t>
    <phoneticPr fontId="40" type="noConversion"/>
  </si>
  <si>
    <t>비고</t>
    <phoneticPr fontId="40" type="noConversion"/>
  </si>
  <si>
    <t>시작일*</t>
    <phoneticPr fontId="40" type="noConversion"/>
  </si>
  <si>
    <t>완료일*</t>
    <phoneticPr fontId="40" type="noConversion"/>
  </si>
  <si>
    <t>Calendar</t>
    <phoneticPr fontId="40" type="noConversion"/>
  </si>
  <si>
    <t>총_x000D_
작업량</t>
    <phoneticPr fontId="40" type="noConversion"/>
  </si>
  <si>
    <t>계획_x000D_
작업량</t>
    <phoneticPr fontId="40" type="noConversion"/>
  </si>
  <si>
    <t>총_x000D_
기간</t>
    <phoneticPr fontId="40" type="noConversion"/>
  </si>
  <si>
    <t>계획_x000D_
기간</t>
    <phoneticPr fontId="40" type="noConversion"/>
  </si>
  <si>
    <t>실제_x000D_
시작일</t>
    <phoneticPr fontId="40" type="noConversion"/>
  </si>
  <si>
    <t>실제_x000D_
완료일</t>
    <phoneticPr fontId="40" type="noConversion"/>
  </si>
  <si>
    <t>실제_x000D_
총작업량</t>
    <phoneticPr fontId="40" type="noConversion"/>
  </si>
  <si>
    <t>실제_x000D_
총기간</t>
    <phoneticPr fontId="40" type="noConversion"/>
  </si>
  <si>
    <t>가중치</t>
    <phoneticPr fontId="40" type="noConversion"/>
  </si>
  <si>
    <t>담당</t>
    <phoneticPr fontId="40" type="noConversion"/>
  </si>
  <si>
    <t>산출물</t>
    <phoneticPr fontId="40" type="noConversion"/>
  </si>
  <si>
    <t>계획</t>
    <phoneticPr fontId="40" type="noConversion"/>
  </si>
  <si>
    <t>실적*</t>
    <phoneticPr fontId="40" type="noConversion"/>
  </si>
  <si>
    <t>프로젝트 진행율 - 일정변경 관리하지 않을때</t>
    <phoneticPr fontId="40" type="noConversion"/>
  </si>
  <si>
    <t>실제 진행된 작업량</t>
    <phoneticPr fontId="40" type="noConversion"/>
  </si>
  <si>
    <t>일정변경관리 하지 않을 때 현재까지 실제로 진행된 작업기간을 표시함(총기간 x 총실적진행율)</t>
    <phoneticPr fontId="40" type="noConversion"/>
  </si>
  <si>
    <t>제품 사양 테이블, 로그 테이블</t>
  </si>
  <si>
    <t>4가지 공정 센서값 추출 및 통신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</si>
</sst>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
    <numFmt numFmtId="178" formatCode="mm\/dd"/>
    <numFmt numFmtId="179" formatCode="0.0_);[Red]\(0.0\)"/>
    <numFmt numFmtId="180" formatCode="0.00_);[Red]\(0.00\)"/>
  </numFmts>
  <fonts count="45">
    <font>
      <sz val="11"/>
      <color rgb="FF000000"/>
      <name val="맑은 고딕"/>
    </font>
    <font>
      <sz val="11"/>
      <color rgb="FF000000"/>
      <name val="맑은 고딕"/>
      <family val="3"/>
      <charset val="129"/>
    </font>
    <font>
      <sz val="10"/>
      <color rgb="FFFFFFFF"/>
      <name val="맑은 고딕"/>
      <family val="3"/>
      <charset val="129"/>
    </font>
    <font>
      <u/>
      <sz val="11"/>
      <color rgb="FF0563C1"/>
      <name val="돋움"/>
      <family val="3"/>
      <charset val="129"/>
    </font>
    <font>
      <sz val="11"/>
      <color rgb="FF000000"/>
      <name val="돋움"/>
      <family val="3"/>
      <charset val="129"/>
    </font>
    <font>
      <sz val="9"/>
      <color rgb="FF000000"/>
      <name val="Calibri"/>
    </font>
    <font>
      <b/>
      <sz val="16"/>
      <color rgb="FF0070C0"/>
      <name val="Calibri"/>
    </font>
    <font>
      <sz val="9"/>
      <color rgb="FF0070C0"/>
      <name val="Calibri"/>
    </font>
    <font>
      <b/>
      <sz val="16"/>
      <color rgb="FFFFFFFF"/>
      <name val="Calibri"/>
    </font>
    <font>
      <sz val="11"/>
      <color rgb="FF000000"/>
      <name val="Calibri"/>
    </font>
    <font>
      <sz val="10"/>
      <color rgb="FF000000"/>
      <name val="Calibri"/>
    </font>
    <font>
      <b/>
      <sz val="10"/>
      <color rgb="FF0070C0"/>
      <name val="Calibri"/>
    </font>
    <font>
      <sz val="10"/>
      <color rgb="FF0070C0"/>
      <name val="Calibri"/>
    </font>
    <font>
      <b/>
      <sz val="10"/>
      <color rgb="FF000000"/>
      <name val="Calibri"/>
    </font>
    <font>
      <sz val="11"/>
      <color rgb="FFFFFFFF"/>
      <name val="Calibri"/>
    </font>
    <font>
      <sz val="12"/>
      <color rgb="FF222222"/>
      <name val="Calibri"/>
    </font>
    <font>
      <sz val="11"/>
      <color rgb="FF000000"/>
      <name val="CA"/>
    </font>
    <font>
      <sz val="9"/>
      <color rgb="FFFF8800"/>
      <name val="Calibri"/>
      <family val="2"/>
    </font>
    <font>
      <sz val="9"/>
      <color rgb="FFFFFFFF"/>
      <name val="Calibri"/>
      <family val="2"/>
    </font>
    <font>
      <sz val="9"/>
      <color rgb="FF000000"/>
      <name val="맑은 고딕"/>
      <family val="3"/>
      <charset val="129"/>
    </font>
    <font>
      <sz val="9"/>
      <color rgb="FFFF0000"/>
      <name val="맑은 고딕"/>
      <family val="3"/>
      <charset val="129"/>
    </font>
    <font>
      <sz val="10"/>
      <color rgb="FFFF0000"/>
      <name val="Calibri"/>
      <family val="2"/>
    </font>
    <font>
      <sz val="9"/>
      <color rgb="FFFF0000"/>
      <name val="Calibri"/>
      <family val="2"/>
    </font>
    <font>
      <b/>
      <sz val="12"/>
      <color rgb="FF0070C0"/>
      <name val="Calibri"/>
      <family val="2"/>
    </font>
    <font>
      <b/>
      <sz val="14"/>
      <color rgb="FF0070C0"/>
      <name val="Calibri"/>
      <family val="2"/>
    </font>
    <font>
      <sz val="11"/>
      <color rgb="FF0070C0"/>
      <name val="Calibri"/>
      <family val="2"/>
    </font>
    <font>
      <b/>
      <sz val="16"/>
      <color rgb="FF595959"/>
      <name val="Calibri"/>
      <family val="2"/>
    </font>
    <font>
      <b/>
      <sz val="12"/>
      <color rgb="FF595959"/>
      <name val="Calibri"/>
      <family val="2"/>
    </font>
    <font>
      <sz val="9"/>
      <color rgb="FF595959"/>
      <name val="Calibri"/>
      <family val="2"/>
    </font>
    <font>
      <b/>
      <sz val="9"/>
      <color rgb="FF595959"/>
      <name val="Calibri"/>
      <family val="2"/>
    </font>
    <font>
      <b/>
      <sz val="9"/>
      <color rgb="FFFF8800"/>
      <name val="Calibri"/>
      <family val="2"/>
    </font>
    <font>
      <sz val="9"/>
      <color rgb="FF000000"/>
      <name val="돋움"/>
      <family val="3"/>
      <charset val="129"/>
    </font>
    <font>
      <sz val="10"/>
      <color rgb="FF000000"/>
      <name val="돋움"/>
      <family val="3"/>
      <charset val="129"/>
    </font>
    <font>
      <b/>
      <sz val="14"/>
      <color rgb="FFFF8800"/>
      <name val="Calibri"/>
      <family val="2"/>
    </font>
    <font>
      <sz val="14"/>
      <color rgb="FF000000"/>
      <name val="Calibri"/>
      <family val="2"/>
    </font>
    <font>
      <b/>
      <sz val="14"/>
      <color rgb="FFFF8800"/>
      <name val="돋움"/>
      <family val="3"/>
      <charset val="129"/>
    </font>
    <font>
      <sz val="11"/>
      <color rgb="FF000000"/>
      <name val="맑은 고딕"/>
      <family val="3"/>
      <charset val="129"/>
    </font>
    <font>
      <sz val="9"/>
      <color rgb="FF000000"/>
      <name val="Calibri"/>
      <family val="2"/>
    </font>
    <font>
      <sz val="10"/>
      <color rgb="FF000000"/>
      <name val="Calibri"/>
      <family val="2"/>
    </font>
    <font>
      <sz val="11"/>
      <color rgb="FF000000"/>
      <name val="Calibri"/>
      <family val="2"/>
    </font>
    <font>
      <sz val="8"/>
      <name val="돋움"/>
      <family val="3"/>
      <charset val="129"/>
    </font>
    <font>
      <b/>
      <sz val="16"/>
      <name val="Calibri"/>
      <family val="2"/>
    </font>
    <font>
      <sz val="9"/>
      <name val="Calibri"/>
      <family val="2"/>
    </font>
    <font>
      <sz val="9"/>
      <color theme="0"/>
      <name val="Calibri"/>
      <family val="2"/>
    </font>
    <font>
      <sz val="9"/>
      <color rgb="FF000000"/>
      <name val="Arial Unicode MS"/>
      <family val="2"/>
      <charset val="129"/>
    </font>
  </fonts>
  <fills count="12">
    <fill>
      <patternFill patternType="none"/>
    </fill>
    <fill>
      <patternFill patternType="gray125"/>
    </fill>
    <fill>
      <patternFill patternType="solid">
        <fgColor rgb="FF4472C4"/>
        <bgColor indexed="64"/>
      </patternFill>
    </fill>
    <fill>
      <patternFill patternType="solid">
        <fgColor rgb="FFFFFFFF"/>
        <bgColor indexed="64"/>
      </patternFill>
    </fill>
    <fill>
      <patternFill patternType="solid">
        <fgColor rgb="FFD9D9D9"/>
        <bgColor indexed="64"/>
      </patternFill>
    </fill>
    <fill>
      <patternFill patternType="solid">
        <fgColor rgb="FFEAEAEA"/>
        <bgColor indexed="64"/>
      </patternFill>
    </fill>
    <fill>
      <patternFill patternType="solid">
        <fgColor rgb="FF00B0F0"/>
        <bgColor indexed="64"/>
      </patternFill>
    </fill>
    <fill>
      <patternFill patternType="solid">
        <fgColor rgb="FFF2F2F2"/>
        <bgColor indexed="64"/>
      </patternFill>
    </fill>
    <fill>
      <patternFill patternType="solid">
        <fgColor rgb="FFDDEBF7"/>
        <bgColor indexed="64"/>
      </patternFill>
    </fill>
    <fill>
      <patternFill patternType="solid">
        <fgColor rgb="FFFF8800"/>
        <bgColor indexed="64"/>
      </patternFill>
    </fill>
    <fill>
      <patternFill patternType="solid">
        <fgColor rgb="FFF2F2FF"/>
        <bgColor indexed="64"/>
      </patternFill>
    </fill>
    <fill>
      <patternFill patternType="solid">
        <fgColor rgb="FF3399FF"/>
        <bgColor indexed="64"/>
      </patternFill>
    </fill>
  </fills>
  <borders count="20">
    <border>
      <left/>
      <right/>
      <top/>
      <bottom/>
      <diagonal/>
    </border>
    <border>
      <left style="thin">
        <color rgb="FFFFFFFF"/>
      </left>
      <right style="thin">
        <color rgb="FFFFFFFF"/>
      </right>
      <top/>
      <bottom/>
      <diagonal/>
    </border>
    <border>
      <left style="thin">
        <color rgb="FFD9D9D9"/>
      </left>
      <right style="thin">
        <color rgb="FFD9D9D9"/>
      </right>
      <top style="thin">
        <color rgb="FFD9D9D9"/>
      </top>
      <bottom style="thin">
        <color rgb="FFD9D9D9"/>
      </bottom>
      <diagonal/>
    </border>
    <border>
      <left/>
      <right/>
      <top style="thin">
        <color rgb="FFD9D9D9"/>
      </top>
      <bottom/>
      <diagonal/>
    </border>
    <border>
      <left style="thin">
        <color auto="1"/>
      </left>
      <right style="thin">
        <color auto="1"/>
      </right>
      <top style="thin">
        <color auto="1"/>
      </top>
      <bottom style="thin">
        <color auto="1"/>
      </bottom>
      <diagonal/>
    </border>
    <border>
      <left/>
      <right/>
      <top/>
      <bottom style="thin">
        <color rgb="FFD9D9D9"/>
      </bottom>
      <diagonal/>
    </border>
    <border>
      <left/>
      <right style="thin">
        <color rgb="FFFFFFFF"/>
      </right>
      <top/>
      <bottom/>
      <diagonal/>
    </border>
    <border>
      <left/>
      <right/>
      <top/>
      <bottom style="thin">
        <color auto="1"/>
      </bottom>
      <diagonal/>
    </border>
    <border>
      <left/>
      <right/>
      <top style="thin">
        <color rgb="FFFFFFFF"/>
      </top>
      <bottom style="thin">
        <color rgb="FFFFFFFF"/>
      </bottom>
      <diagonal/>
    </border>
    <border>
      <left style="thin">
        <color rgb="FFD9D9D9"/>
      </left>
      <right style="thin">
        <color rgb="FFD9D9D9"/>
      </right>
      <top/>
      <bottom style="thin">
        <color rgb="FFD9D9D9"/>
      </bottom>
      <diagonal/>
    </border>
    <border>
      <left/>
      <right/>
      <top/>
      <bottom style="thin">
        <color rgb="FFFFFFFF"/>
      </bottom>
      <diagonal/>
    </border>
    <border>
      <left/>
      <right/>
      <top style="thin">
        <color rgb="FFD9D9D9"/>
      </top>
      <bottom style="thin">
        <color rgb="FFD9D9D9"/>
      </bottom>
      <diagonal/>
    </border>
    <border>
      <left style="thin">
        <color rgb="FFFFFFFF"/>
      </left>
      <right/>
      <top/>
      <bottom/>
      <diagonal/>
    </border>
    <border>
      <left style="thin">
        <color auto="1"/>
      </left>
      <right style="thin">
        <color auto="1"/>
      </right>
      <top style="thin">
        <color auto="1"/>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alignment vertical="center"/>
    </xf>
    <xf numFmtId="9" fontId="36" fillId="0" borderId="0">
      <alignment vertical="center"/>
    </xf>
    <xf numFmtId="0" fontId="2" fillId="2" borderId="0">
      <alignment vertical="center"/>
    </xf>
    <xf numFmtId="0" fontId="3" fillId="0" borderId="0"/>
    <xf numFmtId="9" fontId="4" fillId="0" borderId="0">
      <alignment vertical="center"/>
    </xf>
    <xf numFmtId="0" fontId="4" fillId="0" borderId="0"/>
    <xf numFmtId="0" fontId="36" fillId="0" borderId="0"/>
  </cellStyleXfs>
  <cellXfs count="218">
    <xf numFmtId="0" fontId="0" fillId="0" borderId="0" xfId="0">
      <alignment vertical="center"/>
    </xf>
    <xf numFmtId="0" fontId="5" fillId="0" borderId="2" xfId="5" quotePrefix="1" applyFont="1" applyBorder="1" applyAlignment="1" applyProtection="1">
      <alignment horizontal="right" vertical="top"/>
      <protection locked="0"/>
    </xf>
    <xf numFmtId="0" fontId="5" fillId="0" borderId="2" xfId="5" applyFont="1" applyBorder="1" applyAlignment="1" applyProtection="1">
      <alignment horizontal="right" vertical="top"/>
      <protection locked="0"/>
    </xf>
    <xf numFmtId="0" fontId="5" fillId="0" borderId="2" xfId="5" applyFont="1" applyBorder="1" applyAlignment="1" applyProtection="1">
      <alignment horizontal="left" vertical="top"/>
      <protection locked="0"/>
    </xf>
    <xf numFmtId="14" fontId="5" fillId="0" borderId="2" xfId="5" applyNumberFormat="1" applyFont="1" applyBorder="1" applyAlignment="1" applyProtection="1">
      <alignment horizontal="center" vertical="top"/>
      <protection locked="0"/>
    </xf>
    <xf numFmtId="176" fontId="5" fillId="0" borderId="2" xfId="5" applyNumberFormat="1" applyFont="1" applyBorder="1" applyAlignment="1" applyProtection="1">
      <alignment horizontal="center" vertical="top"/>
      <protection locked="0"/>
    </xf>
    <xf numFmtId="0" fontId="5" fillId="0" borderId="2" xfId="5" applyFont="1" applyBorder="1" applyAlignment="1" applyProtection="1">
      <alignment horizontal="center" vertical="top"/>
      <protection locked="0"/>
    </xf>
    <xf numFmtId="177" fontId="5" fillId="0" borderId="2" xfId="5" applyNumberFormat="1" applyFont="1" applyBorder="1" applyAlignment="1" applyProtection="1">
      <alignment horizontal="center" vertical="top"/>
      <protection locked="0"/>
    </xf>
    <xf numFmtId="1" fontId="5" fillId="0" borderId="2" xfId="5" applyNumberFormat="1" applyFont="1" applyBorder="1" applyAlignment="1" applyProtection="1">
      <alignment horizontal="center" vertical="top"/>
      <protection locked="0"/>
    </xf>
    <xf numFmtId="179" fontId="5" fillId="0" borderId="2" xfId="5" applyNumberFormat="1" applyFont="1" applyBorder="1" applyAlignment="1" applyProtection="1">
      <alignment horizontal="center" vertical="top"/>
      <protection locked="0"/>
    </xf>
    <xf numFmtId="14" fontId="5" fillId="0" borderId="2" xfId="5" applyNumberFormat="1" applyFont="1" applyBorder="1" applyAlignment="1" applyProtection="1">
      <alignment horizontal="left" vertical="top"/>
      <protection locked="0"/>
    </xf>
    <xf numFmtId="10" fontId="5" fillId="0" borderId="2" xfId="4" applyNumberFormat="1" applyFont="1" applyBorder="1" applyAlignment="1" applyProtection="1">
      <alignment horizontal="right" vertical="top" wrapText="1"/>
      <protection locked="0"/>
    </xf>
    <xf numFmtId="10" fontId="5" fillId="0" borderId="2" xfId="4" applyNumberFormat="1" applyFont="1" applyBorder="1" applyAlignment="1" applyProtection="1">
      <alignment horizontal="right" vertical="top"/>
      <protection locked="0"/>
    </xf>
    <xf numFmtId="0" fontId="6" fillId="0" borderId="0" xfId="2" applyFont="1" applyFill="1">
      <alignment vertical="center"/>
    </xf>
    <xf numFmtId="0" fontId="7" fillId="0" borderId="0" xfId="2" applyFont="1" applyFill="1">
      <alignment vertical="center"/>
    </xf>
    <xf numFmtId="14" fontId="8" fillId="0" borderId="0" xfId="5" applyNumberFormat="1" applyFont="1" applyAlignment="1">
      <alignment vertical="center"/>
    </xf>
    <xf numFmtId="14" fontId="9" fillId="0" borderId="0" xfId="5" applyNumberFormat="1" applyFont="1" applyAlignment="1">
      <alignment vertical="center"/>
    </xf>
    <xf numFmtId="14" fontId="10" fillId="3" borderId="0" xfId="5" quotePrefix="1" applyNumberFormat="1" applyFont="1" applyFill="1"/>
    <xf numFmtId="14" fontId="10" fillId="3" borderId="0" xfId="5" applyNumberFormat="1" applyFont="1" applyFill="1" applyAlignment="1">
      <alignment vertical="center"/>
    </xf>
    <xf numFmtId="0" fontId="10" fillId="3" borderId="0" xfId="5" applyFont="1" applyFill="1"/>
    <xf numFmtId="176" fontId="11" fillId="3" borderId="0" xfId="5" applyNumberFormat="1" applyFont="1" applyFill="1" applyAlignment="1" applyProtection="1">
      <alignment vertical="center"/>
      <protection locked="0"/>
    </xf>
    <xf numFmtId="14" fontId="12" fillId="3" borderId="0" xfId="5" applyNumberFormat="1" applyFont="1" applyFill="1" applyAlignment="1">
      <alignment vertical="center"/>
    </xf>
    <xf numFmtId="14" fontId="10" fillId="0" borderId="3" xfId="5" applyNumberFormat="1" applyFont="1" applyBorder="1" applyAlignment="1" applyProtection="1">
      <alignment vertical="top"/>
      <protection locked="0"/>
    </xf>
    <xf numFmtId="14" fontId="10" fillId="0" borderId="3" xfId="5" applyNumberFormat="1" applyFont="1" applyBorder="1" applyAlignment="1" applyProtection="1">
      <alignment vertical="center"/>
      <protection locked="0"/>
    </xf>
    <xf numFmtId="0" fontId="10" fillId="0" borderId="3" xfId="5" applyFont="1" applyBorder="1" applyAlignment="1" applyProtection="1">
      <alignment vertical="top"/>
      <protection locked="0"/>
    </xf>
    <xf numFmtId="0" fontId="10" fillId="0" borderId="3" xfId="5" applyFont="1" applyBorder="1" applyAlignment="1" applyProtection="1">
      <alignment vertical="center" wrapText="1"/>
      <protection locked="0"/>
    </xf>
    <xf numFmtId="0" fontId="10" fillId="0" borderId="3" xfId="5" applyFont="1" applyBorder="1" applyAlignment="1" applyProtection="1">
      <alignment vertical="center"/>
      <protection locked="0"/>
    </xf>
    <xf numFmtId="0" fontId="10" fillId="0" borderId="0" xfId="5" applyFont="1" applyAlignment="1" applyProtection="1">
      <alignment vertical="top"/>
      <protection locked="0"/>
    </xf>
    <xf numFmtId="14" fontId="13" fillId="0" borderId="0" xfId="5" applyNumberFormat="1" applyFont="1" applyAlignment="1" applyProtection="1">
      <alignment horizontal="right" vertical="top"/>
      <protection locked="0"/>
    </xf>
    <xf numFmtId="180" fontId="10" fillId="4" borderId="4" xfId="5" applyNumberFormat="1" applyFont="1" applyFill="1" applyBorder="1" applyAlignment="1" applyProtection="1">
      <alignment vertical="center"/>
      <protection locked="0"/>
    </xf>
    <xf numFmtId="14" fontId="13" fillId="0" borderId="5" xfId="5" applyNumberFormat="1" applyFont="1" applyBorder="1" applyAlignment="1" applyProtection="1">
      <alignment horizontal="right" vertical="top"/>
      <protection locked="0"/>
    </xf>
    <xf numFmtId="14" fontId="10" fillId="0" borderId="5" xfId="5" applyNumberFormat="1" applyFont="1" applyBorder="1" applyAlignment="1" applyProtection="1">
      <alignment vertical="center"/>
      <protection locked="0"/>
    </xf>
    <xf numFmtId="0" fontId="10" fillId="0" borderId="5" xfId="5" applyFont="1" applyBorder="1" applyAlignment="1" applyProtection="1">
      <alignment vertical="top"/>
      <protection locked="0"/>
    </xf>
    <xf numFmtId="0" fontId="10" fillId="0" borderId="5" xfId="5" applyFont="1" applyBorder="1" applyAlignment="1" applyProtection="1">
      <alignment vertical="center"/>
      <protection locked="0"/>
    </xf>
    <xf numFmtId="14" fontId="13" fillId="0" borderId="0" xfId="5" applyNumberFormat="1" applyFont="1" applyAlignment="1" applyProtection="1">
      <alignment vertical="top"/>
      <protection locked="0"/>
    </xf>
    <xf numFmtId="14" fontId="10" fillId="0" borderId="0" xfId="5" applyNumberFormat="1" applyFont="1" applyAlignment="1" applyProtection="1">
      <alignment vertical="center"/>
      <protection locked="0"/>
    </xf>
    <xf numFmtId="14" fontId="10" fillId="0" borderId="0" xfId="5" applyNumberFormat="1" applyFont="1" applyAlignment="1" applyProtection="1">
      <alignment vertical="top"/>
      <protection locked="0"/>
    </xf>
    <xf numFmtId="14" fontId="13" fillId="0" borderId="5" xfId="5" applyNumberFormat="1" applyFont="1" applyBorder="1" applyAlignment="1" applyProtection="1">
      <alignment vertical="top"/>
      <protection locked="0"/>
    </xf>
    <xf numFmtId="0" fontId="10" fillId="0" borderId="5" xfId="5" applyFont="1" applyBorder="1" applyAlignment="1" applyProtection="1">
      <alignment vertical="center" wrapText="1"/>
      <protection locked="0"/>
    </xf>
    <xf numFmtId="14" fontId="13" fillId="0" borderId="3" xfId="5" applyNumberFormat="1" applyFont="1" applyBorder="1" applyAlignment="1" applyProtection="1">
      <alignment vertical="center" wrapText="1"/>
      <protection locked="0"/>
    </xf>
    <xf numFmtId="14" fontId="13" fillId="0" borderId="0" xfId="5" applyNumberFormat="1" applyFont="1" applyAlignment="1" applyProtection="1">
      <alignment horizontal="right" vertical="center" wrapText="1"/>
      <protection locked="0"/>
    </xf>
    <xf numFmtId="14" fontId="13" fillId="0" borderId="5" xfId="5" applyNumberFormat="1" applyFont="1" applyBorder="1" applyAlignment="1" applyProtection="1">
      <alignment vertical="center" wrapText="1"/>
      <protection locked="0"/>
    </xf>
    <xf numFmtId="0" fontId="10" fillId="0" borderId="5" xfId="5" applyFont="1" applyBorder="1" applyProtection="1">
      <protection locked="0"/>
    </xf>
    <xf numFmtId="0" fontId="10" fillId="0" borderId="0" xfId="5" applyFont="1" applyProtection="1">
      <protection locked="0"/>
    </xf>
    <xf numFmtId="14" fontId="10" fillId="0" borderId="0" xfId="5" applyNumberFormat="1" applyFont="1" applyProtection="1">
      <protection locked="0"/>
    </xf>
    <xf numFmtId="0" fontId="10" fillId="0" borderId="3" xfId="5" applyFont="1" applyBorder="1" applyProtection="1">
      <protection locked="0"/>
    </xf>
    <xf numFmtId="14" fontId="13" fillId="0" borderId="3" xfId="5" applyNumberFormat="1" applyFont="1" applyBorder="1" applyProtection="1">
      <protection locked="0"/>
    </xf>
    <xf numFmtId="10" fontId="10" fillId="4" borderId="4" xfId="4" applyNumberFormat="1" applyFont="1" applyFill="1" applyBorder="1" applyProtection="1">
      <alignment vertical="center"/>
      <protection locked="0"/>
    </xf>
    <xf numFmtId="14" fontId="13" fillId="0" borderId="3" xfId="5" applyNumberFormat="1" applyFont="1" applyBorder="1" applyAlignment="1" applyProtection="1">
      <alignment horizontal="right" vertical="top"/>
      <protection locked="0"/>
    </xf>
    <xf numFmtId="14" fontId="13" fillId="0" borderId="3" xfId="5" applyNumberFormat="1" applyFont="1" applyBorder="1" applyAlignment="1" applyProtection="1">
      <alignment vertical="top"/>
      <protection locked="0"/>
    </xf>
    <xf numFmtId="10" fontId="10" fillId="4" borderId="4" xfId="4" applyNumberFormat="1" applyFont="1" applyFill="1" applyBorder="1">
      <alignment vertical="center"/>
    </xf>
    <xf numFmtId="14" fontId="10" fillId="0" borderId="5" xfId="5" applyNumberFormat="1" applyFont="1" applyBorder="1" applyAlignment="1" applyProtection="1">
      <alignment horizontal="right" vertical="top"/>
      <protection locked="0"/>
    </xf>
    <xf numFmtId="14" fontId="9" fillId="0" borderId="0" xfId="5" applyNumberFormat="1" applyFont="1" applyAlignment="1" applyProtection="1">
      <alignment vertical="top"/>
      <protection locked="0"/>
    </xf>
    <xf numFmtId="14" fontId="9" fillId="0" borderId="0" xfId="5" applyNumberFormat="1" applyFont="1" applyAlignment="1" applyProtection="1">
      <alignment vertical="center"/>
      <protection locked="0"/>
    </xf>
    <xf numFmtId="0" fontId="9" fillId="0" borderId="0" xfId="5" applyFont="1" applyAlignment="1" applyProtection="1">
      <alignment vertical="top"/>
      <protection locked="0"/>
    </xf>
    <xf numFmtId="14" fontId="9" fillId="0" borderId="0" xfId="5" applyNumberFormat="1" applyFont="1" applyProtection="1">
      <protection locked="0"/>
    </xf>
    <xf numFmtId="180" fontId="9" fillId="0" borderId="0" xfId="4" applyNumberFormat="1" applyFont="1" applyProtection="1">
      <alignment vertical="center"/>
      <protection locked="0"/>
    </xf>
    <xf numFmtId="0" fontId="9" fillId="0" borderId="0" xfId="5" applyFont="1" applyProtection="1">
      <protection locked="0"/>
    </xf>
    <xf numFmtId="1" fontId="9" fillId="0" borderId="0" xfId="5" applyNumberFormat="1" applyFont="1" applyAlignment="1" applyProtection="1">
      <alignment vertical="center"/>
      <protection locked="0"/>
    </xf>
    <xf numFmtId="176" fontId="9" fillId="0" borderId="0" xfId="5" applyNumberFormat="1" applyFont="1" applyAlignment="1" applyProtection="1">
      <alignment vertical="center"/>
      <protection locked="0"/>
    </xf>
    <xf numFmtId="0" fontId="6" fillId="0" borderId="0" xfId="5" applyFont="1" applyAlignment="1">
      <alignment vertical="center"/>
    </xf>
    <xf numFmtId="0" fontId="9" fillId="5" borderId="6" xfId="5" applyFont="1" applyFill="1" applyBorder="1" applyAlignment="1">
      <alignment horizontal="left" wrapText="1"/>
    </xf>
    <xf numFmtId="14" fontId="9" fillId="0" borderId="0" xfId="5" applyNumberFormat="1" applyFont="1"/>
    <xf numFmtId="14" fontId="9" fillId="3" borderId="0" xfId="5" applyNumberFormat="1" applyFont="1" applyFill="1" applyAlignment="1">
      <alignment vertical="top"/>
    </xf>
    <xf numFmtId="14" fontId="14" fillId="6" borderId="2" xfId="5" applyNumberFormat="1" applyFont="1" applyFill="1" applyBorder="1" applyAlignment="1">
      <alignment horizontal="center" vertical="center"/>
    </xf>
    <xf numFmtId="14" fontId="9" fillId="0" borderId="0" xfId="5" applyNumberFormat="1" applyFont="1" applyAlignment="1">
      <alignment horizontal="center" vertical="center"/>
    </xf>
    <xf numFmtId="14" fontId="9" fillId="7" borderId="2" xfId="5" applyNumberFormat="1" applyFont="1" applyFill="1" applyBorder="1" applyProtection="1">
      <protection locked="0"/>
    </xf>
    <xf numFmtId="14" fontId="9" fillId="0" borderId="2" xfId="5" applyNumberFormat="1" applyFont="1" applyBorder="1" applyProtection="1">
      <protection locked="0"/>
    </xf>
    <xf numFmtId="0" fontId="15" fillId="0" borderId="0" xfId="5" applyFont="1"/>
    <xf numFmtId="14" fontId="9" fillId="0" borderId="2" xfId="5" applyNumberFormat="1" applyFont="1" applyBorder="1"/>
    <xf numFmtId="0" fontId="16" fillId="0" borderId="0" xfId="5" applyFont="1" applyAlignment="1" applyProtection="1">
      <alignment horizontal="center"/>
      <protection locked="0"/>
    </xf>
    <xf numFmtId="14" fontId="16" fillId="0" borderId="0" xfId="5" applyNumberFormat="1" applyFont="1" applyAlignment="1" applyProtection="1">
      <alignment horizontal="center"/>
      <protection locked="0"/>
    </xf>
    <xf numFmtId="0" fontId="16" fillId="0" borderId="0" xfId="5" applyFont="1" applyProtection="1">
      <protection locked="0"/>
    </xf>
    <xf numFmtId="0" fontId="16" fillId="0" borderId="0" xfId="5" applyFont="1" applyAlignment="1" applyProtection="1">
      <alignment horizontal="right"/>
      <protection locked="0"/>
    </xf>
    <xf numFmtId="0" fontId="16" fillId="0" borderId="0" xfId="5" applyFont="1" applyAlignment="1" applyProtection="1">
      <alignment horizontal="left"/>
      <protection locked="0"/>
    </xf>
    <xf numFmtId="14" fontId="16" fillId="0" borderId="0" xfId="5" applyNumberFormat="1" applyFont="1" applyProtection="1">
      <protection locked="0"/>
    </xf>
    <xf numFmtId="14" fontId="16" fillId="0" borderId="0" xfId="5" applyNumberFormat="1" applyFont="1" applyAlignment="1" applyProtection="1">
      <alignment horizontal="left"/>
      <protection locked="0"/>
    </xf>
    <xf numFmtId="10" fontId="5" fillId="0" borderId="2" xfId="1" applyNumberFormat="1" applyFont="1" applyBorder="1" applyAlignment="1" applyProtection="1">
      <alignment horizontal="right" vertical="top" wrapText="1"/>
      <protection locked="0"/>
    </xf>
    <xf numFmtId="0" fontId="10" fillId="8" borderId="7" xfId="5" applyFont="1" applyFill="1" applyBorder="1" applyAlignment="1">
      <alignment horizontal="left" vertical="top"/>
    </xf>
    <xf numFmtId="0" fontId="10" fillId="0" borderId="0" xfId="5" applyFont="1" applyAlignment="1">
      <alignment horizontal="left" vertical="top"/>
    </xf>
    <xf numFmtId="0" fontId="10" fillId="0" borderId="0" xfId="5" applyFont="1" applyAlignment="1">
      <alignment vertical="top"/>
    </xf>
    <xf numFmtId="0" fontId="10" fillId="0" borderId="0" xfId="5" quotePrefix="1" applyFont="1" applyAlignment="1">
      <alignment horizontal="left" vertical="top"/>
    </xf>
    <xf numFmtId="14" fontId="10" fillId="0" borderId="0" xfId="5" applyNumberFormat="1" applyFont="1" applyAlignment="1">
      <alignment horizontal="left" vertical="top"/>
    </xf>
    <xf numFmtId="0" fontId="10" fillId="0" borderId="7" xfId="5" applyFont="1" applyBorder="1" applyAlignment="1">
      <alignment vertical="top"/>
    </xf>
    <xf numFmtId="0" fontId="10" fillId="0" borderId="7" xfId="5" applyFont="1" applyBorder="1" applyAlignment="1">
      <alignment horizontal="left" vertical="top"/>
    </xf>
    <xf numFmtId="1" fontId="10" fillId="0" borderId="0" xfId="5" applyNumberFormat="1" applyFont="1" applyAlignment="1">
      <alignment horizontal="left" vertical="top"/>
    </xf>
    <xf numFmtId="22" fontId="10" fillId="0" borderId="0" xfId="5" applyNumberFormat="1" applyFont="1" applyAlignment="1">
      <alignment horizontal="left" vertical="top"/>
    </xf>
    <xf numFmtId="14" fontId="10" fillId="0" borderId="0" xfId="5" applyNumberFormat="1" applyFont="1" applyAlignment="1">
      <alignment vertical="top"/>
    </xf>
    <xf numFmtId="0" fontId="10" fillId="0" borderId="0" xfId="0" applyFont="1" applyAlignment="1"/>
    <xf numFmtId="0" fontId="5" fillId="0" borderId="2" xfId="5" applyFont="1" applyBorder="1" applyAlignment="1" applyProtection="1">
      <alignment vertical="top"/>
      <protection locked="0"/>
    </xf>
    <xf numFmtId="14" fontId="9" fillId="7" borderId="2" xfId="0" applyNumberFormat="1" applyFont="1" applyFill="1" applyBorder="1" applyAlignment="1" applyProtection="1">
      <protection locked="0"/>
    </xf>
    <xf numFmtId="14" fontId="9" fillId="0" borderId="2" xfId="0" applyNumberFormat="1" applyFont="1" applyBorder="1" applyAlignment="1" applyProtection="1">
      <protection locked="0"/>
    </xf>
    <xf numFmtId="0" fontId="18" fillId="6" borderId="6" xfId="5" applyFont="1" applyFill="1" applyBorder="1" applyAlignment="1">
      <alignment horizontal="center" vertical="center"/>
    </xf>
    <xf numFmtId="0" fontId="18" fillId="6" borderId="6" xfId="5" applyFont="1" applyFill="1" applyBorder="1" applyAlignment="1">
      <alignment horizontal="center" vertical="center" wrapText="1"/>
    </xf>
    <xf numFmtId="0" fontId="19" fillId="0" borderId="0" xfId="0" applyFont="1" applyAlignment="1">
      <alignment vertical="top"/>
    </xf>
    <xf numFmtId="0" fontId="19" fillId="0" borderId="0" xfId="0" applyFont="1" applyAlignment="1">
      <alignment vertical="top" wrapText="1"/>
    </xf>
    <xf numFmtId="0" fontId="5" fillId="0" borderId="0" xfId="6" applyFont="1" applyAlignment="1">
      <alignment horizontal="left" vertical="top" wrapText="1"/>
    </xf>
    <xf numFmtId="0" fontId="5" fillId="0" borderId="0" xfId="6" applyFont="1" applyAlignment="1">
      <alignment horizontal="left" vertical="top"/>
    </xf>
    <xf numFmtId="0" fontId="5" fillId="0" borderId="0" xfId="5" applyFont="1" applyAlignment="1">
      <alignment vertical="top"/>
    </xf>
    <xf numFmtId="14" fontId="5" fillId="0" borderId="0" xfId="6" applyNumberFormat="1" applyFont="1" applyAlignment="1">
      <alignment horizontal="left" vertical="top" wrapText="1"/>
    </xf>
    <xf numFmtId="0" fontId="10" fillId="0" borderId="0" xfId="6" applyFont="1" applyAlignment="1">
      <alignment horizontal="left" vertical="top" wrapText="1"/>
    </xf>
    <xf numFmtId="0" fontId="9" fillId="0" borderId="0" xfId="5" applyFont="1" applyAlignment="1">
      <alignment vertical="top"/>
    </xf>
    <xf numFmtId="0" fontId="20" fillId="0" borderId="0" xfId="0" applyFont="1" applyAlignment="1">
      <alignment vertical="top"/>
    </xf>
    <xf numFmtId="0" fontId="21" fillId="0" borderId="0" xfId="6" applyFont="1" applyAlignment="1">
      <alignment horizontal="left" vertical="top" wrapText="1"/>
    </xf>
    <xf numFmtId="0" fontId="22" fillId="0" borderId="0" xfId="6" applyFont="1" applyAlignment="1">
      <alignment horizontal="left" vertical="top"/>
    </xf>
    <xf numFmtId="0" fontId="19" fillId="0" borderId="0" xfId="0" applyFont="1" applyAlignment="1">
      <alignment horizontal="center" vertical="top"/>
    </xf>
    <xf numFmtId="0" fontId="5" fillId="0" borderId="0" xfId="0" applyFont="1" applyAlignment="1">
      <alignment vertical="top" wrapText="1"/>
    </xf>
    <xf numFmtId="0" fontId="6" fillId="10" borderId="0" xfId="2" applyFont="1" applyFill="1" applyAlignment="1">
      <alignment horizontal="left" vertical="top"/>
    </xf>
    <xf numFmtId="0" fontId="23" fillId="10" borderId="0" xfId="2" applyFont="1" applyFill="1" applyAlignment="1">
      <alignment horizontal="left" vertical="top"/>
    </xf>
    <xf numFmtId="0" fontId="24" fillId="10" borderId="0" xfId="2" applyFont="1" applyFill="1" applyAlignment="1">
      <alignment horizontal="left" vertical="center"/>
    </xf>
    <xf numFmtId="0" fontId="24" fillId="10" borderId="0" xfId="2" applyFont="1" applyFill="1">
      <alignment vertical="center"/>
    </xf>
    <xf numFmtId="14" fontId="24" fillId="10" borderId="0" xfId="2" applyNumberFormat="1" applyFont="1" applyFill="1" applyAlignment="1">
      <alignment vertical="top"/>
    </xf>
    <xf numFmtId="14" fontId="25" fillId="10" borderId="0" xfId="2" applyNumberFormat="1" applyFont="1" applyFill="1" applyAlignment="1">
      <alignment horizontal="left" vertical="top" wrapText="1"/>
    </xf>
    <xf numFmtId="0" fontId="11" fillId="10" borderId="0" xfId="2" applyFont="1" applyFill="1" applyAlignment="1">
      <alignment horizontal="center" vertical="top"/>
    </xf>
    <xf numFmtId="0" fontId="6" fillId="10" borderId="0" xfId="2" applyFont="1" applyFill="1" applyAlignment="1">
      <alignment horizontal="center" vertical="top"/>
    </xf>
    <xf numFmtId="0" fontId="24" fillId="10" borderId="0" xfId="2" applyFont="1" applyFill="1" applyAlignment="1">
      <alignment horizontal="center" vertical="top"/>
    </xf>
    <xf numFmtId="14" fontId="24" fillId="10" borderId="0" xfId="2" applyNumberFormat="1" applyFont="1" applyFill="1" applyAlignment="1">
      <alignment horizontal="center" vertical="top"/>
    </xf>
    <xf numFmtId="0" fontId="6" fillId="10" borderId="0" xfId="2" applyFont="1" applyFill="1" applyAlignment="1">
      <alignment horizontal="left" vertical="center"/>
    </xf>
    <xf numFmtId="1" fontId="24" fillId="10" borderId="0" xfId="2" applyNumberFormat="1" applyFont="1" applyFill="1" applyAlignment="1">
      <alignment horizontal="center" vertical="top"/>
    </xf>
    <xf numFmtId="0" fontId="11" fillId="10" borderId="0" xfId="3" applyFont="1" applyFill="1" applyAlignment="1">
      <alignment vertical="top" wrapText="1"/>
    </xf>
    <xf numFmtId="0" fontId="11" fillId="10" borderId="0" xfId="3" applyFont="1" applyFill="1" applyAlignment="1">
      <alignment vertical="top"/>
    </xf>
    <xf numFmtId="0" fontId="23" fillId="10" borderId="0" xfId="3" applyFont="1" applyFill="1" applyAlignment="1">
      <alignment horizontal="right" vertical="top"/>
    </xf>
    <xf numFmtId="0" fontId="23" fillId="10" borderId="0" xfId="3" applyFont="1" applyFill="1" applyAlignment="1">
      <alignment horizontal="right" vertical="center"/>
    </xf>
    <xf numFmtId="0" fontId="26" fillId="10" borderId="0" xfId="2" applyFont="1" applyFill="1" applyAlignment="1">
      <alignment horizontal="left" vertical="top"/>
    </xf>
    <xf numFmtId="0" fontId="27" fillId="10" borderId="0" xfId="2" applyFont="1" applyFill="1" applyAlignment="1">
      <alignment horizontal="left" vertical="top"/>
    </xf>
    <xf numFmtId="0" fontId="28" fillId="10" borderId="0" xfId="3" applyFont="1" applyFill="1" applyAlignment="1">
      <alignment horizontal="right" vertical="center"/>
    </xf>
    <xf numFmtId="10" fontId="28" fillId="10" borderId="0" xfId="4" applyNumberFormat="1" applyFont="1" applyFill="1" applyAlignment="1">
      <alignment horizontal="right" vertical="center"/>
    </xf>
    <xf numFmtId="0" fontId="29" fillId="10" borderId="0" xfId="3" applyFont="1" applyFill="1" applyAlignment="1">
      <alignment vertical="top"/>
    </xf>
    <xf numFmtId="0" fontId="29" fillId="10" borderId="0" xfId="3" applyFont="1" applyFill="1" applyAlignment="1">
      <alignment horizontal="right" vertical="top"/>
    </xf>
    <xf numFmtId="0" fontId="30" fillId="10" borderId="0" xfId="2" applyFont="1" applyFill="1" applyAlignment="1">
      <alignment horizontal="left" vertical="center"/>
    </xf>
    <xf numFmtId="0" fontId="31" fillId="0" borderId="0" xfId="0" applyFont="1" applyAlignment="1">
      <alignment vertical="top" wrapText="1"/>
    </xf>
    <xf numFmtId="0" fontId="32" fillId="0" borderId="0" xfId="6" applyFont="1" applyAlignment="1">
      <alignment horizontal="left" vertical="top" wrapText="1"/>
    </xf>
    <xf numFmtId="0" fontId="5" fillId="0" borderId="9" xfId="5" applyFont="1" applyBorder="1" applyAlignment="1" applyProtection="1">
      <alignment vertical="top"/>
      <protection locked="0"/>
    </xf>
    <xf numFmtId="0" fontId="5" fillId="0" borderId="9" xfId="5" applyFont="1" applyBorder="1" applyAlignment="1" applyProtection="1">
      <alignment horizontal="right" vertical="top"/>
      <protection locked="0"/>
    </xf>
    <xf numFmtId="0" fontId="5" fillId="0" borderId="9" xfId="5" applyFont="1" applyBorder="1" applyAlignment="1" applyProtection="1">
      <alignment horizontal="left" vertical="top"/>
      <protection locked="0"/>
    </xf>
    <xf numFmtId="14" fontId="5" fillId="0" borderId="9" xfId="5" applyNumberFormat="1" applyFont="1" applyBorder="1" applyAlignment="1" applyProtection="1">
      <alignment horizontal="center" vertical="top"/>
      <protection locked="0"/>
    </xf>
    <xf numFmtId="176" fontId="5" fillId="0" borderId="9" xfId="5" applyNumberFormat="1" applyFont="1" applyBorder="1" applyAlignment="1" applyProtection="1">
      <alignment horizontal="center" vertical="top"/>
      <protection locked="0"/>
    </xf>
    <xf numFmtId="0" fontId="5" fillId="0" borderId="9" xfId="5" applyFont="1" applyBorder="1" applyAlignment="1" applyProtection="1">
      <alignment horizontal="center" vertical="top"/>
      <protection locked="0"/>
    </xf>
    <xf numFmtId="177" fontId="5" fillId="0" borderId="9" xfId="5" applyNumberFormat="1" applyFont="1" applyBorder="1" applyAlignment="1" applyProtection="1">
      <alignment horizontal="center" vertical="top"/>
      <protection locked="0"/>
    </xf>
    <xf numFmtId="1" fontId="5" fillId="0" borderId="9" xfId="5" applyNumberFormat="1" applyFont="1" applyBorder="1" applyAlignment="1" applyProtection="1">
      <alignment horizontal="center" vertical="top"/>
      <protection locked="0"/>
    </xf>
    <xf numFmtId="179" fontId="5" fillId="0" borderId="9" xfId="5" applyNumberFormat="1" applyFont="1" applyBorder="1" applyAlignment="1" applyProtection="1">
      <alignment horizontal="center" vertical="top"/>
      <protection locked="0"/>
    </xf>
    <xf numFmtId="14" fontId="5" fillId="0" borderId="9" xfId="5" applyNumberFormat="1" applyFont="1" applyBorder="1" applyAlignment="1" applyProtection="1">
      <alignment horizontal="left" vertical="top"/>
      <protection locked="0"/>
    </xf>
    <xf numFmtId="10" fontId="5" fillId="0" borderId="9" xfId="4" applyNumberFormat="1" applyFont="1" applyBorder="1" applyAlignment="1" applyProtection="1">
      <alignment horizontal="right" vertical="top" wrapText="1"/>
      <protection locked="0"/>
    </xf>
    <xf numFmtId="10" fontId="5" fillId="0" borderId="9" xfId="4" applyNumberFormat="1" applyFont="1" applyBorder="1" applyAlignment="1" applyProtection="1">
      <alignment horizontal="right" vertical="top"/>
      <protection locked="0"/>
    </xf>
    <xf numFmtId="0" fontId="9" fillId="5" borderId="1" xfId="5" applyFont="1" applyFill="1" applyBorder="1" applyAlignment="1">
      <alignment horizontal="left" wrapText="1"/>
    </xf>
    <xf numFmtId="10" fontId="5" fillId="0" borderId="2" xfId="1" applyNumberFormat="1" applyFont="1" applyBorder="1" applyAlignment="1" applyProtection="1">
      <alignment horizontal="right" vertical="top"/>
      <protection locked="0"/>
    </xf>
    <xf numFmtId="0" fontId="5" fillId="0" borderId="9" xfId="5" quotePrefix="1" applyFont="1" applyBorder="1" applyAlignment="1" applyProtection="1">
      <alignment horizontal="right" vertical="top"/>
      <protection locked="0"/>
    </xf>
    <xf numFmtId="10" fontId="5" fillId="0" borderId="9" xfId="1" applyNumberFormat="1" applyFont="1" applyBorder="1" applyAlignment="1" applyProtection="1">
      <alignment horizontal="right" vertical="top" wrapText="1"/>
      <protection locked="0"/>
    </xf>
    <xf numFmtId="10" fontId="5" fillId="0" borderId="9" xfId="1" applyNumberFormat="1" applyFont="1" applyBorder="1" applyAlignment="1" applyProtection="1">
      <alignment horizontal="right" vertical="top"/>
      <protection locked="0"/>
    </xf>
    <xf numFmtId="14" fontId="9" fillId="0" borderId="5" xfId="5" applyNumberFormat="1" applyFont="1" applyBorder="1"/>
    <xf numFmtId="0" fontId="9" fillId="0" borderId="5" xfId="5" applyFont="1" applyBorder="1"/>
    <xf numFmtId="14" fontId="9" fillId="0" borderId="11" xfId="5" applyNumberFormat="1" applyFont="1" applyBorder="1"/>
    <xf numFmtId="0" fontId="9" fillId="0" borderId="11" xfId="5" applyFont="1" applyBorder="1"/>
    <xf numFmtId="0" fontId="9" fillId="5" borderId="12" xfId="5" applyFont="1" applyFill="1" applyBorder="1" applyAlignment="1">
      <alignment horizontal="left" wrapText="1"/>
    </xf>
    <xf numFmtId="0" fontId="9" fillId="0" borderId="0" xfId="5" applyFont="1"/>
    <xf numFmtId="10" fontId="9" fillId="0" borderId="5" xfId="1" applyNumberFormat="1" applyFont="1" applyBorder="1" applyAlignment="1"/>
    <xf numFmtId="10" fontId="9" fillId="0" borderId="11" xfId="1" applyNumberFormat="1" applyFont="1" applyBorder="1" applyAlignment="1"/>
    <xf numFmtId="0" fontId="0" fillId="0" borderId="0" xfId="0" applyAlignment="1">
      <alignment horizontal="center" vertical="center"/>
    </xf>
    <xf numFmtId="0" fontId="0" fillId="0" borderId="0" xfId="0" applyAlignment="1">
      <alignment horizontal="center" vertical="center" wrapText="1"/>
    </xf>
    <xf numFmtId="0" fontId="42" fillId="0" borderId="0" xfId="2" applyFont="1" applyFill="1" applyAlignment="1">
      <alignment horizontal="left" vertical="center"/>
    </xf>
    <xf numFmtId="178" fontId="17" fillId="9" borderId="14" xfId="5" applyNumberFormat="1" applyFont="1" applyFill="1" applyBorder="1" applyAlignment="1">
      <alignment horizontal="left" vertical="center"/>
    </xf>
    <xf numFmtId="178" fontId="17" fillId="9" borderId="15" xfId="5" applyNumberFormat="1" applyFont="1" applyFill="1" applyBorder="1" applyAlignment="1">
      <alignment horizontal="left" vertical="center"/>
    </xf>
    <xf numFmtId="178" fontId="17" fillId="9" borderId="16" xfId="5" applyNumberFormat="1" applyFont="1" applyFill="1" applyBorder="1" applyAlignment="1">
      <alignment horizontal="left" vertical="center"/>
    </xf>
    <xf numFmtId="0" fontId="41" fillId="10" borderId="0" xfId="2" applyFont="1" applyFill="1" applyAlignment="1">
      <alignment horizontal="left" vertical="center"/>
    </xf>
    <xf numFmtId="0" fontId="5" fillId="0" borderId="19" xfId="5" applyFont="1" applyBorder="1" applyAlignment="1" applyProtection="1">
      <alignment vertical="top"/>
      <protection locked="0"/>
    </xf>
    <xf numFmtId="0" fontId="5" fillId="0" borderId="19" xfId="5" quotePrefix="1" applyFont="1" applyBorder="1" applyAlignment="1" applyProtection="1">
      <alignment horizontal="right" vertical="top"/>
      <protection locked="0"/>
    </xf>
    <xf numFmtId="0" fontId="5" fillId="0" borderId="19" xfId="5" applyFont="1" applyBorder="1" applyAlignment="1" applyProtection="1">
      <alignment horizontal="left" vertical="top"/>
      <protection locked="0"/>
    </xf>
    <xf numFmtId="14" fontId="5" fillId="0" borderId="19" xfId="5" applyNumberFormat="1" applyFont="1" applyBorder="1" applyAlignment="1" applyProtection="1">
      <alignment horizontal="center" vertical="top"/>
      <protection locked="0"/>
    </xf>
    <xf numFmtId="176" fontId="5" fillId="0" borderId="19" xfId="5" applyNumberFormat="1" applyFont="1" applyBorder="1" applyAlignment="1" applyProtection="1">
      <alignment horizontal="center" vertical="top"/>
      <protection locked="0"/>
    </xf>
    <xf numFmtId="0" fontId="5" fillId="0" borderId="19" xfId="5" applyFont="1" applyBorder="1" applyAlignment="1" applyProtection="1">
      <alignment horizontal="center" vertical="top"/>
      <protection locked="0"/>
    </xf>
    <xf numFmtId="177" fontId="5" fillId="0" borderId="19" xfId="5" applyNumberFormat="1" applyFont="1" applyBorder="1" applyAlignment="1" applyProtection="1">
      <alignment horizontal="center" vertical="top"/>
      <protection locked="0"/>
    </xf>
    <xf numFmtId="1" fontId="5" fillId="0" borderId="19" xfId="5" applyNumberFormat="1" applyFont="1" applyBorder="1" applyAlignment="1" applyProtection="1">
      <alignment horizontal="center" vertical="top"/>
      <protection locked="0"/>
    </xf>
    <xf numFmtId="179" fontId="5" fillId="0" borderId="19" xfId="5" applyNumberFormat="1" applyFont="1" applyBorder="1" applyAlignment="1" applyProtection="1">
      <alignment horizontal="center" vertical="top"/>
      <protection locked="0"/>
    </xf>
    <xf numFmtId="14" fontId="5" fillId="0" borderId="19" xfId="5" applyNumberFormat="1" applyFont="1" applyBorder="1" applyAlignment="1" applyProtection="1">
      <alignment horizontal="left" vertical="top"/>
      <protection locked="0"/>
    </xf>
    <xf numFmtId="0" fontId="31" fillId="0" borderId="19" xfId="5" applyFont="1" applyBorder="1" applyAlignment="1" applyProtection="1">
      <alignment horizontal="left" vertical="top"/>
      <protection locked="0"/>
    </xf>
    <xf numFmtId="0" fontId="5" fillId="0" borderId="19" xfId="5" applyFont="1" applyBorder="1" applyAlignment="1" applyProtection="1">
      <alignment horizontal="left" vertical="top" wrapText="1"/>
      <protection locked="0"/>
    </xf>
    <xf numFmtId="10" fontId="36" fillId="0" borderId="0" xfId="1" applyNumberFormat="1">
      <alignment vertical="center"/>
    </xf>
    <xf numFmtId="0" fontId="44" fillId="0" borderId="19" xfId="5" applyFont="1" applyBorder="1" applyAlignment="1" applyProtection="1">
      <alignment horizontal="left" vertical="top"/>
      <protection locked="0"/>
    </xf>
    <xf numFmtId="0" fontId="37" fillId="0" borderId="19" xfId="5" applyFont="1" applyBorder="1" applyAlignment="1" applyProtection="1">
      <alignment horizontal="left" vertical="top"/>
      <protection locked="0"/>
    </xf>
    <xf numFmtId="0" fontId="33" fillId="0" borderId="0" xfId="3" applyFont="1"/>
    <xf numFmtId="14" fontId="28" fillId="10" borderId="0" xfId="4" applyNumberFormat="1" applyFont="1" applyFill="1" applyAlignment="1">
      <alignment horizontal="center" vertical="center" wrapText="1"/>
    </xf>
    <xf numFmtId="0" fontId="18" fillId="11" borderId="6" xfId="5" applyFont="1" applyFill="1" applyBorder="1" applyAlignment="1">
      <alignment horizontal="center" vertical="center" wrapText="1"/>
    </xf>
    <xf numFmtId="0" fontId="18" fillId="11" borderId="0" xfId="5" applyFont="1" applyFill="1" applyAlignment="1">
      <alignment horizontal="center" vertical="center" wrapText="1"/>
    </xf>
    <xf numFmtId="0" fontId="18" fillId="11" borderId="1" xfId="5" applyFont="1" applyFill="1" applyBorder="1" applyAlignment="1">
      <alignment horizontal="center" vertical="center"/>
    </xf>
    <xf numFmtId="0" fontId="18" fillId="11" borderId="13" xfId="5" applyFont="1" applyFill="1" applyBorder="1" applyAlignment="1">
      <alignment horizontal="center" vertical="center"/>
    </xf>
    <xf numFmtId="0" fontId="18" fillId="11" borderId="1" xfId="5" applyFont="1" applyFill="1" applyBorder="1" applyAlignment="1">
      <alignment horizontal="center" vertical="center" wrapText="1"/>
    </xf>
    <xf numFmtId="0" fontId="18" fillId="9" borderId="1" xfId="5" applyFont="1" applyFill="1" applyBorder="1" applyAlignment="1">
      <alignment horizontal="center" vertical="center"/>
    </xf>
    <xf numFmtId="0" fontId="18" fillId="11" borderId="12" xfId="5" applyFont="1" applyFill="1" applyBorder="1" applyAlignment="1">
      <alignment horizontal="center" vertical="center"/>
    </xf>
    <xf numFmtId="0" fontId="18" fillId="11" borderId="0" xfId="5" applyFont="1" applyFill="1" applyAlignment="1">
      <alignment horizontal="center" vertical="center"/>
    </xf>
    <xf numFmtId="0" fontId="18" fillId="11" borderId="6" xfId="5" applyFont="1" applyFill="1" applyBorder="1" applyAlignment="1">
      <alignment horizontal="center" vertical="center"/>
    </xf>
    <xf numFmtId="14" fontId="18" fillId="11" borderId="1" xfId="5" applyNumberFormat="1" applyFont="1" applyFill="1" applyBorder="1" applyAlignment="1">
      <alignment horizontal="center" vertical="center"/>
    </xf>
    <xf numFmtId="176" fontId="18" fillId="9" borderId="1" xfId="5" applyNumberFormat="1" applyFont="1" applyFill="1" applyBorder="1" applyAlignment="1">
      <alignment horizontal="center" vertical="center" wrapText="1"/>
    </xf>
    <xf numFmtId="14" fontId="18" fillId="11" borderId="1" xfId="5" applyNumberFormat="1" applyFont="1" applyFill="1" applyBorder="1" applyAlignment="1">
      <alignment horizontal="center" vertical="center" wrapText="1"/>
    </xf>
    <xf numFmtId="178" fontId="43" fillId="9" borderId="14" xfId="2" applyNumberFormat="1" applyFont="1" applyFill="1" applyBorder="1" applyAlignment="1">
      <alignment horizontal="left" vertical="center"/>
    </xf>
    <xf numFmtId="178" fontId="43" fillId="9" borderId="15" xfId="2" applyNumberFormat="1" applyFont="1" applyFill="1" applyBorder="1" applyAlignment="1">
      <alignment horizontal="left" vertical="center"/>
    </xf>
    <xf numFmtId="178" fontId="43" fillId="9" borderId="16" xfId="2" applyNumberFormat="1" applyFont="1" applyFill="1" applyBorder="1" applyAlignment="1">
      <alignment horizontal="left" vertical="center"/>
    </xf>
    <xf numFmtId="0" fontId="5" fillId="0" borderId="19" xfId="5" applyFont="1" applyBorder="1" applyAlignment="1" applyProtection="1">
      <alignment horizontal="left" vertical="center"/>
      <protection locked="0"/>
    </xf>
    <xf numFmtId="10" fontId="18" fillId="9" borderId="1" xfId="4" applyNumberFormat="1" applyFont="1" applyFill="1" applyBorder="1" applyAlignment="1">
      <alignment horizontal="center" vertical="center" wrapText="1"/>
    </xf>
    <xf numFmtId="10" fontId="18" fillId="11" borderId="12" xfId="4" applyNumberFormat="1" applyFont="1" applyFill="1" applyBorder="1" applyAlignment="1">
      <alignment horizontal="center" vertical="center" wrapText="1"/>
    </xf>
    <xf numFmtId="177" fontId="18" fillId="9" borderId="1" xfId="5" applyNumberFormat="1" applyFont="1" applyFill="1" applyBorder="1" applyAlignment="1">
      <alignment horizontal="center" vertical="center" wrapText="1"/>
    </xf>
    <xf numFmtId="1" fontId="18" fillId="9" borderId="1" xfId="5" applyNumberFormat="1" applyFont="1" applyFill="1" applyBorder="1" applyAlignment="1">
      <alignment horizontal="center" vertical="center" wrapText="1"/>
    </xf>
    <xf numFmtId="176" fontId="18" fillId="11" borderId="1" xfId="5" applyNumberFormat="1" applyFont="1" applyFill="1" applyBorder="1" applyAlignment="1">
      <alignment horizontal="center" vertical="center"/>
    </xf>
    <xf numFmtId="14" fontId="12" fillId="3" borderId="0" xfId="5" applyNumberFormat="1" applyFont="1" applyFill="1" applyAlignment="1">
      <alignment horizontal="right" vertical="center"/>
    </xf>
    <xf numFmtId="0" fontId="10" fillId="0" borderId="0" xfId="5" applyFont="1" applyAlignment="1" applyProtection="1">
      <alignment horizontal="left" vertical="center"/>
      <protection locked="0"/>
    </xf>
    <xf numFmtId="0" fontId="10" fillId="0" borderId="0" xfId="5" applyFont="1" applyAlignment="1" applyProtection="1">
      <alignment horizontal="left" vertical="center" wrapText="1"/>
      <protection locked="0"/>
    </xf>
    <xf numFmtId="0" fontId="6" fillId="0" borderId="0" xfId="2" applyFont="1" applyFill="1" applyAlignment="1">
      <alignment horizontal="left" vertical="center"/>
    </xf>
    <xf numFmtId="0" fontId="7" fillId="0" borderId="0" xfId="2" applyFont="1" applyFill="1" applyAlignment="1">
      <alignment horizontal="left" vertical="center"/>
    </xf>
    <xf numFmtId="14" fontId="9" fillId="3" borderId="0" xfId="5" applyNumberFormat="1" applyFont="1" applyFill="1" applyAlignment="1">
      <alignment horizontal="left" vertical="top" wrapText="1"/>
    </xf>
    <xf numFmtId="14" fontId="34" fillId="7" borderId="2" xfId="5" applyNumberFormat="1" applyFont="1" applyFill="1" applyBorder="1" applyAlignment="1" applyProtection="1">
      <alignment horizontal="center" vertical="center"/>
      <protection locked="0"/>
    </xf>
    <xf numFmtId="0" fontId="0" fillId="0" borderId="0" xfId="0" applyAlignment="1">
      <alignment horizontal="center" vertical="center"/>
    </xf>
    <xf numFmtId="0" fontId="0" fillId="0" borderId="0" xfId="0" applyAlignment="1">
      <alignment horizontal="center" vertical="center" wrapText="1"/>
    </xf>
    <xf numFmtId="0" fontId="17" fillId="0" borderId="6" xfId="5" applyFont="1" applyFill="1" applyBorder="1" applyAlignment="1">
      <alignment horizontal="left" vertical="center"/>
    </xf>
    <xf numFmtId="0" fontId="17" fillId="0" borderId="1" xfId="5" applyFont="1" applyFill="1" applyBorder="1" applyAlignment="1">
      <alignment horizontal="left" vertical="center"/>
    </xf>
    <xf numFmtId="0" fontId="42" fillId="0" borderId="1" xfId="5" applyFont="1" applyFill="1" applyBorder="1" applyAlignment="1">
      <alignment horizontal="left" vertical="center"/>
    </xf>
    <xf numFmtId="0" fontId="42" fillId="0" borderId="18" xfId="5" applyFont="1" applyFill="1" applyBorder="1" applyAlignment="1" applyProtection="1">
      <alignment horizontal="left" vertical="center"/>
      <protection locked="0"/>
    </xf>
    <xf numFmtId="0" fontId="42" fillId="0" borderId="17" xfId="5" applyFont="1" applyFill="1" applyBorder="1" applyAlignment="1" applyProtection="1">
      <alignment horizontal="left" vertical="center"/>
      <protection locked="0"/>
    </xf>
    <xf numFmtId="0" fontId="42" fillId="0" borderId="8" xfId="5" applyFont="1" applyFill="1" applyBorder="1" applyAlignment="1" applyProtection="1">
      <alignment horizontal="left" vertical="center"/>
      <protection locked="0"/>
    </xf>
    <xf numFmtId="0" fontId="42" fillId="0" borderId="10" xfId="5" applyFont="1" applyFill="1" applyBorder="1" applyAlignment="1" applyProtection="1">
      <alignment horizontal="left" vertical="center"/>
      <protection locked="0"/>
    </xf>
  </cellXfs>
  <cellStyles count="7">
    <cellStyle name="강조색5 2" xfId="2" xr:uid="{00000000-0005-0000-0000-000002000000}"/>
    <cellStyle name="백분율" xfId="1" builtinId="5"/>
    <cellStyle name="백분율 2" xfId="4" xr:uid="{00000000-0005-0000-0000-000004000000}"/>
    <cellStyle name="표준" xfId="0" builtinId="0"/>
    <cellStyle name="표준 2" xfId="5" xr:uid="{00000000-0005-0000-0000-000005000000}"/>
    <cellStyle name="표준 2 2" xfId="6" xr:uid="{00000000-0005-0000-0000-000006000000}"/>
    <cellStyle name="하이퍼링크" xfId="3" builtinId="8"/>
  </cellStyles>
  <dxfs count="19">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ill>
        <patternFill patternType="solid">
          <fgColor rgb="FF6182D6"/>
          <bgColor rgb="FF6182D6"/>
        </patternFill>
      </fill>
    </dxf>
    <dxf>
      <fill>
        <patternFill patternType="solid">
          <fgColor rgb="FF94A5DF"/>
          <bgColor rgb="FF94A5DF"/>
        </patternFill>
      </fill>
      <border>
        <top style="thin">
          <color rgb="FF6182D6"/>
        </top>
        <bottom style="thin">
          <color rgb="FF6182D6"/>
        </bottom>
      </border>
    </dxf>
    <dxf>
      <font>
        <b/>
      </font>
    </dxf>
    <dxf>
      <font>
        <b/>
      </font>
    </dxf>
    <dxf>
      <font>
        <b/>
      </font>
      <border>
        <top style="thin">
          <color rgb="FF6182D6"/>
        </top>
      </border>
    </dxf>
    <dxf>
      <font>
        <b/>
      </font>
      <border>
        <bottom style="medium">
          <color rgb="FF6182D6"/>
        </bottom>
      </border>
    </dxf>
    <dxf>
      <font>
        <color rgb="FF000000"/>
      </font>
      <border>
        <left/>
        <right/>
        <top style="medium">
          <color rgb="FF6182D6"/>
        </top>
        <bottom style="medium">
          <color rgb="FF6182D6"/>
        </bottom>
        <vertical/>
        <horizontal/>
      </border>
    </dxf>
    <dxf>
      <fill>
        <patternFill patternType="solid">
          <fgColor rgb="FFAEBFEA"/>
          <bgColor rgb="FFAEBFEA"/>
        </patternFill>
      </fill>
    </dxf>
    <dxf>
      <fill>
        <patternFill patternType="solid">
          <fgColor rgb="FFAEBFEA"/>
          <bgColor rgb="FFAEBFEA"/>
        </patternFill>
      </fill>
    </dxf>
    <dxf>
      <font>
        <b/>
        <color rgb="FFFFFFFF"/>
      </font>
      <fill>
        <patternFill patternType="solid">
          <fgColor rgb="FF6182D6"/>
          <bgColor rgb="FF6182D6"/>
        </patternFill>
      </fill>
    </dxf>
    <dxf>
      <font>
        <b/>
        <color rgb="FFFFFFFF"/>
      </font>
      <fill>
        <patternFill patternType="solid">
          <fgColor rgb="FF6182D6"/>
          <bgColor rgb="FF6182D6"/>
        </patternFill>
      </fill>
    </dxf>
    <dxf>
      <font>
        <b/>
        <color rgb="FFFFFFFF"/>
      </font>
      <fill>
        <patternFill patternType="solid">
          <fgColor rgb="FF6182D6"/>
          <bgColor rgb="FF6182D6"/>
        </patternFill>
      </fill>
      <border>
        <top style="thick">
          <color rgb="FFFFFFFF"/>
        </top>
      </border>
    </dxf>
    <dxf>
      <font>
        <b/>
        <color rgb="FFFFFFFF"/>
      </font>
      <fill>
        <patternFill patternType="solid">
          <fgColor rgb="FF6182D6"/>
          <bgColor rgb="FF6182D6"/>
        </patternFill>
      </fill>
      <border>
        <bottom style="thick">
          <color rgb="FFFFFFFF"/>
        </bottom>
      </border>
    </dxf>
    <dxf>
      <font>
        <color rgb="FF000000"/>
      </font>
      <fill>
        <patternFill patternType="solid">
          <fgColor rgb="FFD7DFF4"/>
          <bgColor rgb="FFD7DFF4"/>
        </patternFill>
      </fill>
      <border>
        <left style="thin">
          <color rgb="FFFFFFFF"/>
        </left>
        <right style="thin">
          <color rgb="FFFFFFFF"/>
        </right>
        <top style="thin">
          <color rgb="FFFFFFFF"/>
        </top>
        <bottom style="thin">
          <color rgb="FFFFFFFF"/>
        </bottom>
        <vertical style="thin">
          <color rgb="FFFFFFFF"/>
        </vertical>
        <horizontal style="thin">
          <color rgb="FFFFFFFF"/>
        </horizontal>
      </border>
    </dxf>
  </dxfs>
  <tableStyles count="2" defaultTableStyle="TableStyleMedium2" defaultPivotStyle="PivotStyleLight16">
    <tableStyle name="Normal Style 1 - Accent 1" pivot="0" count="7" xr9:uid="{00000000-0011-0000-FFFF-FFFF00000000}">
      <tableStyleElement type="wholeTable" dxfId="18"/>
      <tableStyleElement type="headerRow" dxfId="17"/>
      <tableStyleElement type="totalRow" dxfId="16"/>
      <tableStyleElement type="firstColumn" dxfId="15"/>
      <tableStyleElement type="lastColumn" dxfId="14"/>
      <tableStyleElement type="firstRowStripe" dxfId="13"/>
      <tableStyleElement type="firstColumnStripe" dxfId="12"/>
    </tableStyle>
    <tableStyle name="Light Style 1 - Accent 1" table="0" count="7" xr9:uid="{00000000-0011-0000-FFFF-FFFF01000000}">
      <tableStyleElement type="wholeTable" dxfId="11"/>
      <tableStyleElement type="headerRow" dxfId="10"/>
      <tableStyleElement type="totalRow" dxfId="9"/>
      <tableStyleElement type="firstColumn" dxfId="8"/>
      <tableStyleElement type="lastColumn" dxfId="7"/>
      <tableStyleElement type="firstRowStripe" dxfId="6"/>
      <tableStyleElement type="firstColumn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rot="0" vert="horz" wrap="none" lIns="0" tIns="0" rIns="0" bIns="0" anchor="ctr" anchorCtr="1"/>
        <a:lstStyle/>
        <a:p>
          <a:pPr algn="l">
            <a:defRPr b="1" i="0" u="none"/>
          </a:pPr>
          <a:endParaRPr lang="ko-KR"/>
        </a:p>
      </c:txPr>
    </c:title>
    <c:autoTitleDeleted val="0"/>
    <c:plotArea>
      <c:layout/>
      <c:lineChart>
        <c:grouping val="standard"/>
        <c:varyColors val="0"/>
        <c:ser>
          <c:idx val="0"/>
          <c:order val="0"/>
          <c:tx>
            <c:strRef>
              <c:f>AnalysisReport!$F$6</c:f>
              <c:strCache>
                <c:ptCount val="1"/>
                <c:pt idx="0">
                  <c:v>진척율</c:v>
                </c:pt>
              </c:strCache>
            </c:strRef>
          </c:tx>
          <c:marker>
            <c:symbol val="diamond"/>
            <c:size val="7"/>
          </c:marker>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5FA3-4B58-AA68-484EF00FA44D}"/>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0" vert="horz" wrap="none" lIns="0" tIns="0" rIns="0" bIns="0" anchor="ctr" anchorCtr="1"/>
          <a:lstStyle/>
          <a:p>
            <a:pPr algn="l">
              <a:defRPr b="0" i="0" u="none"/>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spPr>
        <a:noFill/>
        <a:ln w="9525" cap="flat" cmpd="sng" algn="ctr">
          <a:noFill/>
          <a:prstDash val="solid"/>
          <a:round/>
          <a:headEnd w="med" len="med"/>
          <a:tailEnd w="med" len="med"/>
        </a:ln>
      </c:spPr>
    </c:plotArea>
    <c:legend>
      <c:legendPos val="r"/>
      <c:overlay val="0"/>
    </c:legend>
    <c:plotVisOnly val="0"/>
    <c:dispBlanksAs val="gap"/>
    <c:showDLblsOverMax val="1"/>
  </c:chart>
  <c:printSettings>
    <c:headerFooter/>
    <c:pageMargins b="0.75" l="0.7" r="0.7" t="0.75" header="0.3" footer="0.3"/>
    <c:pageSetup/>
  </c:printSettings>
  <c:extLst>
    <c:ext uri="CC8EB2C9-7E31-499d-B8F2-F6CE61031016">
      <ho:hncChartStyle xmlns:ho="http://schemas.haansoft.com/office/8.0" layoutIndex="-1" colorIndex="-1" styleIndex="-1"/>
    </c:ext>
  </c:extLst>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29</xdr:col>
      <xdr:colOff>122465</xdr:colOff>
      <xdr:row>3</xdr:row>
      <xdr:rowOff>55880</xdr:rowOff>
    </xdr:from>
    <xdr:to>
      <xdr:col>29</xdr:col>
      <xdr:colOff>122465</xdr:colOff>
      <xdr:row>56</xdr:row>
      <xdr:rowOff>0</xdr:rowOff>
    </xdr:to>
    <xdr:cxnSp macro="">
      <xdr:nvCxnSpPr>
        <xdr:cNvPr id="23307" name="직선 화살표 연결선 23306">
          <a:extLst>
            <a:ext uri="{FF2B5EF4-FFF2-40B4-BE49-F238E27FC236}">
              <a16:creationId xmlns:a16="http://schemas.microsoft.com/office/drawing/2014/main" id="{F7D3282B-3522-6564-9B8A-15FFF807B210}"/>
            </a:ext>
          </a:extLst>
        </xdr:cNvPr>
        <xdr:cNvCxnSpPr/>
      </xdr:nvCxnSpPr>
      <xdr:spPr>
        <a:xfrm>
          <a:off x="11428640" y="741680"/>
          <a:ext cx="0" cy="1114552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47</xdr:row>
      <xdr:rowOff>47625</xdr:rowOff>
    </xdr:from>
    <xdr:to>
      <xdr:col>34</xdr:col>
      <xdr:colOff>0</xdr:colOff>
      <xdr:row>47</xdr:row>
      <xdr:rowOff>161925</xdr:rowOff>
    </xdr:to>
    <xdr:sp macro="" textlink="">
      <xdr:nvSpPr>
        <xdr:cNvPr id="23308" name="직사각형 23307">
          <a:extLst>
            <a:ext uri="{FF2B5EF4-FFF2-40B4-BE49-F238E27FC236}">
              <a16:creationId xmlns:a16="http://schemas.microsoft.com/office/drawing/2014/main" id="{4280CD2A-FE25-D9A9-7D59-B4E6DB7BE269}"/>
            </a:ext>
          </a:extLst>
        </xdr:cNvPr>
        <xdr:cNvSpPr/>
      </xdr:nvSpPr>
      <xdr:spPr>
        <a:xfrm>
          <a:off x="11938907" y="10048875"/>
          <a:ext cx="8164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47</xdr:row>
      <xdr:rowOff>104775</xdr:rowOff>
    </xdr:from>
    <xdr:to>
      <xdr:col>33</xdr:col>
      <xdr:colOff>61232</xdr:colOff>
      <xdr:row>47</xdr:row>
      <xdr:rowOff>104775</xdr:rowOff>
    </xdr:to>
    <xdr:cxnSp macro="">
      <xdr:nvCxnSpPr>
        <xdr:cNvPr id="23309" name="직선 화살표 연결선 23308">
          <a:extLst>
            <a:ext uri="{FF2B5EF4-FFF2-40B4-BE49-F238E27FC236}">
              <a16:creationId xmlns:a16="http://schemas.microsoft.com/office/drawing/2014/main" id="{7A037E1F-06A5-5106-ACF7-CED000C2A380}"/>
            </a:ext>
          </a:extLst>
        </xdr:cNvPr>
        <xdr:cNvCxnSpPr/>
      </xdr:nvCxnSpPr>
      <xdr:spPr>
        <a:xfrm>
          <a:off x="11938907" y="101060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40822</xdr:colOff>
      <xdr:row>46</xdr:row>
      <xdr:rowOff>47625</xdr:rowOff>
    </xdr:from>
    <xdr:to>
      <xdr:col>33</xdr:col>
      <xdr:colOff>81643</xdr:colOff>
      <xdr:row>46</xdr:row>
      <xdr:rowOff>161925</xdr:rowOff>
    </xdr:to>
    <xdr:sp macro="" textlink="">
      <xdr:nvSpPr>
        <xdr:cNvPr id="23310" name="직사각형 23309">
          <a:extLst>
            <a:ext uri="{FF2B5EF4-FFF2-40B4-BE49-F238E27FC236}">
              <a16:creationId xmlns:a16="http://schemas.microsoft.com/office/drawing/2014/main" id="{95A677DC-24C9-0E41-1283-014433EA1192}"/>
            </a:ext>
          </a:extLst>
        </xdr:cNvPr>
        <xdr:cNvSpPr/>
      </xdr:nvSpPr>
      <xdr:spPr>
        <a:xfrm>
          <a:off x="11918497" y="9839325"/>
          <a:ext cx="4082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40822</xdr:colOff>
      <xdr:row>46</xdr:row>
      <xdr:rowOff>104775</xdr:rowOff>
    </xdr:from>
    <xdr:to>
      <xdr:col>33</xdr:col>
      <xdr:colOff>40822</xdr:colOff>
      <xdr:row>46</xdr:row>
      <xdr:rowOff>104775</xdr:rowOff>
    </xdr:to>
    <xdr:cxnSp macro="">
      <xdr:nvCxnSpPr>
        <xdr:cNvPr id="23311" name="직선 화살표 연결선 23310">
          <a:extLst>
            <a:ext uri="{FF2B5EF4-FFF2-40B4-BE49-F238E27FC236}">
              <a16:creationId xmlns:a16="http://schemas.microsoft.com/office/drawing/2014/main" id="{F87C75C0-0126-E962-B0F4-D251D0907A40}"/>
            </a:ext>
          </a:extLst>
        </xdr:cNvPr>
        <xdr:cNvCxnSpPr/>
      </xdr:nvCxnSpPr>
      <xdr:spPr>
        <a:xfrm>
          <a:off x="11918497" y="9896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40822</xdr:colOff>
      <xdr:row>45</xdr:row>
      <xdr:rowOff>47625</xdr:rowOff>
    </xdr:from>
    <xdr:to>
      <xdr:col>34</xdr:col>
      <xdr:colOff>0</xdr:colOff>
      <xdr:row>45</xdr:row>
      <xdr:rowOff>161925</xdr:rowOff>
    </xdr:to>
    <xdr:sp macro="" textlink="">
      <xdr:nvSpPr>
        <xdr:cNvPr id="23312" name="직사각형 23311">
          <a:extLst>
            <a:ext uri="{FF2B5EF4-FFF2-40B4-BE49-F238E27FC236}">
              <a16:creationId xmlns:a16="http://schemas.microsoft.com/office/drawing/2014/main" id="{F7972979-52ED-DDD5-9950-92C39DF6DEF9}"/>
            </a:ext>
          </a:extLst>
        </xdr:cNvPr>
        <xdr:cNvSpPr/>
      </xdr:nvSpPr>
      <xdr:spPr>
        <a:xfrm>
          <a:off x="11918497" y="9629775"/>
          <a:ext cx="10205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40822</xdr:colOff>
      <xdr:row>45</xdr:row>
      <xdr:rowOff>104775</xdr:rowOff>
    </xdr:from>
    <xdr:to>
      <xdr:col>33</xdr:col>
      <xdr:colOff>40822</xdr:colOff>
      <xdr:row>45</xdr:row>
      <xdr:rowOff>104775</xdr:rowOff>
    </xdr:to>
    <xdr:cxnSp macro="">
      <xdr:nvCxnSpPr>
        <xdr:cNvPr id="23313" name="직선 화살표 연결선 23312">
          <a:extLst>
            <a:ext uri="{FF2B5EF4-FFF2-40B4-BE49-F238E27FC236}">
              <a16:creationId xmlns:a16="http://schemas.microsoft.com/office/drawing/2014/main" id="{063B2A86-5506-4924-98D2-DDC50B6B19AA}"/>
            </a:ext>
          </a:extLst>
        </xdr:cNvPr>
        <xdr:cNvCxnSpPr/>
      </xdr:nvCxnSpPr>
      <xdr:spPr>
        <a:xfrm>
          <a:off x="11918497" y="96869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36</xdr:row>
      <xdr:rowOff>47625</xdr:rowOff>
    </xdr:from>
    <xdr:to>
      <xdr:col>31</xdr:col>
      <xdr:colOff>0</xdr:colOff>
      <xdr:row>36</xdr:row>
      <xdr:rowOff>161925</xdr:rowOff>
    </xdr:to>
    <xdr:sp macro="" textlink="">
      <xdr:nvSpPr>
        <xdr:cNvPr id="23314" name="직사각형 23313">
          <a:extLst>
            <a:ext uri="{FF2B5EF4-FFF2-40B4-BE49-F238E27FC236}">
              <a16:creationId xmlns:a16="http://schemas.microsoft.com/office/drawing/2014/main" id="{92C519EA-DB1E-C5E2-2ECF-6E2DF2166C65}"/>
            </a:ext>
          </a:extLst>
        </xdr:cNvPr>
        <xdr:cNvSpPr/>
      </xdr:nvSpPr>
      <xdr:spPr>
        <a:xfrm>
          <a:off x="11510282" y="7743825"/>
          <a:ext cx="8164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36</xdr:row>
      <xdr:rowOff>104775</xdr:rowOff>
    </xdr:from>
    <xdr:to>
      <xdr:col>30</xdr:col>
      <xdr:colOff>61232</xdr:colOff>
      <xdr:row>36</xdr:row>
      <xdr:rowOff>104775</xdr:rowOff>
    </xdr:to>
    <xdr:cxnSp macro="">
      <xdr:nvCxnSpPr>
        <xdr:cNvPr id="23315" name="직선 화살표 연결선 23314">
          <a:extLst>
            <a:ext uri="{FF2B5EF4-FFF2-40B4-BE49-F238E27FC236}">
              <a16:creationId xmlns:a16="http://schemas.microsoft.com/office/drawing/2014/main" id="{272E64EA-2FBE-5D4E-B0D1-93CB96104E72}"/>
            </a:ext>
          </a:extLst>
        </xdr:cNvPr>
        <xdr:cNvCxnSpPr/>
      </xdr:nvCxnSpPr>
      <xdr:spPr>
        <a:xfrm>
          <a:off x="11510282" y="78009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35</xdr:row>
      <xdr:rowOff>47625</xdr:rowOff>
    </xdr:from>
    <xdr:to>
      <xdr:col>31</xdr:col>
      <xdr:colOff>0</xdr:colOff>
      <xdr:row>35</xdr:row>
      <xdr:rowOff>161925</xdr:rowOff>
    </xdr:to>
    <xdr:sp macro="" textlink="">
      <xdr:nvSpPr>
        <xdr:cNvPr id="23316" name="직사각형 23315">
          <a:extLst>
            <a:ext uri="{FF2B5EF4-FFF2-40B4-BE49-F238E27FC236}">
              <a16:creationId xmlns:a16="http://schemas.microsoft.com/office/drawing/2014/main" id="{69BBEE0B-1510-3803-EA26-4B03EA32A628}"/>
            </a:ext>
          </a:extLst>
        </xdr:cNvPr>
        <xdr:cNvSpPr/>
      </xdr:nvSpPr>
      <xdr:spPr>
        <a:xfrm>
          <a:off x="11510282" y="7534275"/>
          <a:ext cx="8164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35</xdr:row>
      <xdr:rowOff>104775</xdr:rowOff>
    </xdr:from>
    <xdr:to>
      <xdr:col>30</xdr:col>
      <xdr:colOff>61232</xdr:colOff>
      <xdr:row>35</xdr:row>
      <xdr:rowOff>104775</xdr:rowOff>
    </xdr:to>
    <xdr:cxnSp macro="">
      <xdr:nvCxnSpPr>
        <xdr:cNvPr id="23317" name="직선 화살표 연결선 23316">
          <a:extLst>
            <a:ext uri="{FF2B5EF4-FFF2-40B4-BE49-F238E27FC236}">
              <a16:creationId xmlns:a16="http://schemas.microsoft.com/office/drawing/2014/main" id="{D8856989-0599-E63A-F08A-4B5494F1100F}"/>
            </a:ext>
          </a:extLst>
        </xdr:cNvPr>
        <xdr:cNvCxnSpPr/>
      </xdr:nvCxnSpPr>
      <xdr:spPr>
        <a:xfrm>
          <a:off x="11510282" y="75914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34</xdr:row>
      <xdr:rowOff>47625</xdr:rowOff>
    </xdr:from>
    <xdr:to>
      <xdr:col>34</xdr:col>
      <xdr:colOff>0</xdr:colOff>
      <xdr:row>34</xdr:row>
      <xdr:rowOff>161925</xdr:rowOff>
    </xdr:to>
    <xdr:sp macro="" textlink="">
      <xdr:nvSpPr>
        <xdr:cNvPr id="23318" name="직사각형 23317">
          <a:extLst>
            <a:ext uri="{FF2B5EF4-FFF2-40B4-BE49-F238E27FC236}">
              <a16:creationId xmlns:a16="http://schemas.microsoft.com/office/drawing/2014/main" id="{3C948C92-CABD-FB9B-37D9-50DA6D818C05}"/>
            </a:ext>
          </a:extLst>
        </xdr:cNvPr>
        <xdr:cNvSpPr/>
      </xdr:nvSpPr>
      <xdr:spPr>
        <a:xfrm>
          <a:off x="11510282" y="7324725"/>
          <a:ext cx="51026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34</xdr:row>
      <xdr:rowOff>104775</xdr:rowOff>
    </xdr:from>
    <xdr:to>
      <xdr:col>30</xdr:col>
      <xdr:colOff>61232</xdr:colOff>
      <xdr:row>34</xdr:row>
      <xdr:rowOff>104775</xdr:rowOff>
    </xdr:to>
    <xdr:cxnSp macro="">
      <xdr:nvCxnSpPr>
        <xdr:cNvPr id="23319" name="직선 화살표 연결선 23318">
          <a:extLst>
            <a:ext uri="{FF2B5EF4-FFF2-40B4-BE49-F238E27FC236}">
              <a16:creationId xmlns:a16="http://schemas.microsoft.com/office/drawing/2014/main" id="{A82B206E-0021-A0FB-72BF-00B45787E768}"/>
            </a:ext>
          </a:extLst>
        </xdr:cNvPr>
        <xdr:cNvCxnSpPr/>
      </xdr:nvCxnSpPr>
      <xdr:spPr>
        <a:xfrm>
          <a:off x="11510282" y="738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33</xdr:row>
      <xdr:rowOff>47625</xdr:rowOff>
    </xdr:from>
    <xdr:to>
      <xdr:col>30</xdr:col>
      <xdr:colOff>61232</xdr:colOff>
      <xdr:row>33</xdr:row>
      <xdr:rowOff>161925</xdr:rowOff>
    </xdr:to>
    <xdr:sp macro="" textlink="">
      <xdr:nvSpPr>
        <xdr:cNvPr id="23320" name="직사각형 23319">
          <a:extLst>
            <a:ext uri="{FF2B5EF4-FFF2-40B4-BE49-F238E27FC236}">
              <a16:creationId xmlns:a16="http://schemas.microsoft.com/office/drawing/2014/main" id="{547DC066-4963-11F7-DF39-50C9DFE234A8}"/>
            </a:ext>
          </a:extLst>
        </xdr:cNvPr>
        <xdr:cNvSpPr/>
      </xdr:nvSpPr>
      <xdr:spPr>
        <a:xfrm>
          <a:off x="11489872" y="7115175"/>
          <a:ext cx="2041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33</xdr:row>
      <xdr:rowOff>104775</xdr:rowOff>
    </xdr:from>
    <xdr:to>
      <xdr:col>30</xdr:col>
      <xdr:colOff>40822</xdr:colOff>
      <xdr:row>33</xdr:row>
      <xdr:rowOff>104775</xdr:rowOff>
    </xdr:to>
    <xdr:cxnSp macro="">
      <xdr:nvCxnSpPr>
        <xdr:cNvPr id="23321" name="직선 화살표 연결선 23320">
          <a:extLst>
            <a:ext uri="{FF2B5EF4-FFF2-40B4-BE49-F238E27FC236}">
              <a16:creationId xmlns:a16="http://schemas.microsoft.com/office/drawing/2014/main" id="{F93AC821-B18F-7F66-0FFA-F7AEDA595847}"/>
            </a:ext>
          </a:extLst>
        </xdr:cNvPr>
        <xdr:cNvCxnSpPr/>
      </xdr:nvCxnSpPr>
      <xdr:spPr>
        <a:xfrm>
          <a:off x="11489872" y="71723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122465</xdr:colOff>
      <xdr:row>32</xdr:row>
      <xdr:rowOff>47625</xdr:rowOff>
    </xdr:from>
    <xdr:to>
      <xdr:col>30</xdr:col>
      <xdr:colOff>0</xdr:colOff>
      <xdr:row>32</xdr:row>
      <xdr:rowOff>161925</xdr:rowOff>
    </xdr:to>
    <xdr:sp macro="" textlink="">
      <xdr:nvSpPr>
        <xdr:cNvPr id="23322" name="직사각형 23321">
          <a:extLst>
            <a:ext uri="{FF2B5EF4-FFF2-40B4-BE49-F238E27FC236}">
              <a16:creationId xmlns:a16="http://schemas.microsoft.com/office/drawing/2014/main" id="{F58751FE-F4D2-C71A-15CD-2B406D69A731}"/>
            </a:ext>
          </a:extLst>
        </xdr:cNvPr>
        <xdr:cNvSpPr/>
      </xdr:nvSpPr>
      <xdr:spPr>
        <a:xfrm>
          <a:off x="11428640" y="6905625"/>
          <a:ext cx="2041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122465</xdr:colOff>
      <xdr:row>32</xdr:row>
      <xdr:rowOff>104775</xdr:rowOff>
    </xdr:from>
    <xdr:to>
      <xdr:col>29</xdr:col>
      <xdr:colOff>122465</xdr:colOff>
      <xdr:row>32</xdr:row>
      <xdr:rowOff>104775</xdr:rowOff>
    </xdr:to>
    <xdr:cxnSp macro="">
      <xdr:nvCxnSpPr>
        <xdr:cNvPr id="23323" name="직선 화살표 연결선 23322">
          <a:extLst>
            <a:ext uri="{FF2B5EF4-FFF2-40B4-BE49-F238E27FC236}">
              <a16:creationId xmlns:a16="http://schemas.microsoft.com/office/drawing/2014/main" id="{E1B37E57-8C47-FB44-BF7E-9EF6973B5981}"/>
            </a:ext>
          </a:extLst>
        </xdr:cNvPr>
        <xdr:cNvCxnSpPr/>
      </xdr:nvCxnSpPr>
      <xdr:spPr>
        <a:xfrm>
          <a:off x="11428640" y="69627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31</xdr:row>
      <xdr:rowOff>47625</xdr:rowOff>
    </xdr:from>
    <xdr:to>
      <xdr:col>30</xdr:col>
      <xdr:colOff>0</xdr:colOff>
      <xdr:row>31</xdr:row>
      <xdr:rowOff>161925</xdr:rowOff>
    </xdr:to>
    <xdr:sp macro="" textlink="">
      <xdr:nvSpPr>
        <xdr:cNvPr id="23324" name="직사각형 23323">
          <a:extLst>
            <a:ext uri="{FF2B5EF4-FFF2-40B4-BE49-F238E27FC236}">
              <a16:creationId xmlns:a16="http://schemas.microsoft.com/office/drawing/2014/main" id="{B1A7D7CB-3813-E7FA-3EE9-07BC13E44BFC}"/>
            </a:ext>
          </a:extLst>
        </xdr:cNvPr>
        <xdr:cNvSpPr/>
      </xdr:nvSpPr>
      <xdr:spPr>
        <a:xfrm>
          <a:off x="11408228" y="6696075"/>
          <a:ext cx="4082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31</xdr:row>
      <xdr:rowOff>104775</xdr:rowOff>
    </xdr:from>
    <xdr:to>
      <xdr:col>29</xdr:col>
      <xdr:colOff>102053</xdr:colOff>
      <xdr:row>31</xdr:row>
      <xdr:rowOff>104775</xdr:rowOff>
    </xdr:to>
    <xdr:cxnSp macro="">
      <xdr:nvCxnSpPr>
        <xdr:cNvPr id="23325" name="직선 화살표 연결선 23324">
          <a:extLst>
            <a:ext uri="{FF2B5EF4-FFF2-40B4-BE49-F238E27FC236}">
              <a16:creationId xmlns:a16="http://schemas.microsoft.com/office/drawing/2014/main" id="{D2E52AA6-ABC5-58FC-374F-10C370F44C6F}"/>
            </a:ext>
          </a:extLst>
        </xdr:cNvPr>
        <xdr:cNvCxnSpPr/>
      </xdr:nvCxnSpPr>
      <xdr:spPr>
        <a:xfrm>
          <a:off x="11408228" y="67532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30</xdr:row>
      <xdr:rowOff>47625</xdr:rowOff>
    </xdr:from>
    <xdr:to>
      <xdr:col>29</xdr:col>
      <xdr:colOff>122465</xdr:colOff>
      <xdr:row>30</xdr:row>
      <xdr:rowOff>161925</xdr:rowOff>
    </xdr:to>
    <xdr:sp macro="" textlink="">
      <xdr:nvSpPr>
        <xdr:cNvPr id="23326" name="직사각형 23325">
          <a:extLst>
            <a:ext uri="{FF2B5EF4-FFF2-40B4-BE49-F238E27FC236}">
              <a16:creationId xmlns:a16="http://schemas.microsoft.com/office/drawing/2014/main" id="{552D2E4E-0CA3-9BB4-6CD0-1B184E9C32B3}"/>
            </a:ext>
          </a:extLst>
        </xdr:cNvPr>
        <xdr:cNvSpPr/>
      </xdr:nvSpPr>
      <xdr:spPr>
        <a:xfrm>
          <a:off x="11387818" y="6486525"/>
          <a:ext cx="4082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30</xdr:row>
      <xdr:rowOff>104775</xdr:rowOff>
    </xdr:from>
    <xdr:to>
      <xdr:col>29</xdr:col>
      <xdr:colOff>81643</xdr:colOff>
      <xdr:row>30</xdr:row>
      <xdr:rowOff>104775</xdr:rowOff>
    </xdr:to>
    <xdr:cxnSp macro="">
      <xdr:nvCxnSpPr>
        <xdr:cNvPr id="23327" name="직선 화살표 연결선 23326">
          <a:extLst>
            <a:ext uri="{FF2B5EF4-FFF2-40B4-BE49-F238E27FC236}">
              <a16:creationId xmlns:a16="http://schemas.microsoft.com/office/drawing/2014/main" id="{B4B9A934-011E-A310-56CA-66F4521DFAC1}"/>
            </a:ext>
          </a:extLst>
        </xdr:cNvPr>
        <xdr:cNvCxnSpPr/>
      </xdr:nvCxnSpPr>
      <xdr:spPr>
        <a:xfrm>
          <a:off x="11387818" y="6543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29</xdr:row>
      <xdr:rowOff>47625</xdr:rowOff>
    </xdr:from>
    <xdr:to>
      <xdr:col>30</xdr:col>
      <xdr:colOff>0</xdr:colOff>
      <xdr:row>29</xdr:row>
      <xdr:rowOff>161925</xdr:rowOff>
    </xdr:to>
    <xdr:sp macro="" textlink="">
      <xdr:nvSpPr>
        <xdr:cNvPr id="23328" name="직사각형 23327">
          <a:extLst>
            <a:ext uri="{FF2B5EF4-FFF2-40B4-BE49-F238E27FC236}">
              <a16:creationId xmlns:a16="http://schemas.microsoft.com/office/drawing/2014/main" id="{25E3FE7B-34F9-F48F-A447-0CCAA09469C5}"/>
            </a:ext>
          </a:extLst>
        </xdr:cNvPr>
        <xdr:cNvSpPr/>
      </xdr:nvSpPr>
      <xdr:spPr>
        <a:xfrm>
          <a:off x="11387818" y="6276975"/>
          <a:ext cx="61232"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29</xdr:row>
      <xdr:rowOff>104775</xdr:rowOff>
    </xdr:from>
    <xdr:to>
      <xdr:col>29</xdr:col>
      <xdr:colOff>81643</xdr:colOff>
      <xdr:row>29</xdr:row>
      <xdr:rowOff>104775</xdr:rowOff>
    </xdr:to>
    <xdr:cxnSp macro="">
      <xdr:nvCxnSpPr>
        <xdr:cNvPr id="23329" name="직선 화살표 연결선 23328">
          <a:extLst>
            <a:ext uri="{FF2B5EF4-FFF2-40B4-BE49-F238E27FC236}">
              <a16:creationId xmlns:a16="http://schemas.microsoft.com/office/drawing/2014/main" id="{F4A263CC-1301-D93B-1FB3-53806F7A865A}"/>
            </a:ext>
          </a:extLst>
        </xdr:cNvPr>
        <xdr:cNvCxnSpPr/>
      </xdr:nvCxnSpPr>
      <xdr:spPr>
        <a:xfrm>
          <a:off x="11387818" y="63341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28</xdr:row>
      <xdr:rowOff>171450</xdr:rowOff>
    </xdr:from>
    <xdr:to>
      <xdr:col>29</xdr:col>
      <xdr:colOff>122465</xdr:colOff>
      <xdr:row>28</xdr:row>
      <xdr:rowOff>285750</xdr:rowOff>
    </xdr:to>
    <xdr:sp macro="" textlink="">
      <xdr:nvSpPr>
        <xdr:cNvPr id="23330" name="직사각형 23329">
          <a:extLst>
            <a:ext uri="{FF2B5EF4-FFF2-40B4-BE49-F238E27FC236}">
              <a16:creationId xmlns:a16="http://schemas.microsoft.com/office/drawing/2014/main" id="{BF2AAC3C-9E8C-4F1D-A3BB-3038E8E688B4}"/>
            </a:ext>
          </a:extLst>
        </xdr:cNvPr>
        <xdr:cNvSpPr/>
      </xdr:nvSpPr>
      <xdr:spPr>
        <a:xfrm>
          <a:off x="11387818" y="5943600"/>
          <a:ext cx="4082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28</xdr:row>
      <xdr:rowOff>228600</xdr:rowOff>
    </xdr:from>
    <xdr:to>
      <xdr:col>29</xdr:col>
      <xdr:colOff>95114</xdr:colOff>
      <xdr:row>28</xdr:row>
      <xdr:rowOff>228600</xdr:rowOff>
    </xdr:to>
    <xdr:cxnSp macro="">
      <xdr:nvCxnSpPr>
        <xdr:cNvPr id="23331" name="직선 화살표 연결선 23330">
          <a:extLst>
            <a:ext uri="{FF2B5EF4-FFF2-40B4-BE49-F238E27FC236}">
              <a16:creationId xmlns:a16="http://schemas.microsoft.com/office/drawing/2014/main" id="{169C26A3-4523-C9B4-7A6F-CA3DC53CE09A}"/>
            </a:ext>
          </a:extLst>
        </xdr:cNvPr>
        <xdr:cNvCxnSpPr/>
      </xdr:nvCxnSpPr>
      <xdr:spPr>
        <a:xfrm>
          <a:off x="11387818" y="6000750"/>
          <a:ext cx="1347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27</xdr:row>
      <xdr:rowOff>47625</xdr:rowOff>
    </xdr:from>
    <xdr:to>
      <xdr:col>30</xdr:col>
      <xdr:colOff>61232</xdr:colOff>
      <xdr:row>27</xdr:row>
      <xdr:rowOff>161925</xdr:rowOff>
    </xdr:to>
    <xdr:sp macro="" textlink="">
      <xdr:nvSpPr>
        <xdr:cNvPr id="23332" name="직사각형 23331">
          <a:extLst>
            <a:ext uri="{FF2B5EF4-FFF2-40B4-BE49-F238E27FC236}">
              <a16:creationId xmlns:a16="http://schemas.microsoft.com/office/drawing/2014/main" id="{5E4E57F4-93EE-EC81-F070-F4F188540961}"/>
            </a:ext>
          </a:extLst>
        </xdr:cNvPr>
        <xdr:cNvSpPr/>
      </xdr:nvSpPr>
      <xdr:spPr>
        <a:xfrm>
          <a:off x="11387818" y="5610225"/>
          <a:ext cx="122464"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27</xdr:row>
      <xdr:rowOff>104775</xdr:rowOff>
    </xdr:from>
    <xdr:to>
      <xdr:col>29</xdr:col>
      <xdr:colOff>95114</xdr:colOff>
      <xdr:row>27</xdr:row>
      <xdr:rowOff>104775</xdr:rowOff>
    </xdr:to>
    <xdr:cxnSp macro="">
      <xdr:nvCxnSpPr>
        <xdr:cNvPr id="23333" name="직선 화살표 연결선 23332">
          <a:extLst>
            <a:ext uri="{FF2B5EF4-FFF2-40B4-BE49-F238E27FC236}">
              <a16:creationId xmlns:a16="http://schemas.microsoft.com/office/drawing/2014/main" id="{C27510BD-C64E-8423-C43F-22AA5715AA71}"/>
            </a:ext>
          </a:extLst>
        </xdr:cNvPr>
        <xdr:cNvCxnSpPr/>
      </xdr:nvCxnSpPr>
      <xdr:spPr>
        <a:xfrm>
          <a:off x="11387818" y="5667375"/>
          <a:ext cx="1347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26</xdr:row>
      <xdr:rowOff>47625</xdr:rowOff>
    </xdr:from>
    <xdr:to>
      <xdr:col>29</xdr:col>
      <xdr:colOff>81643</xdr:colOff>
      <xdr:row>26</xdr:row>
      <xdr:rowOff>161925</xdr:rowOff>
    </xdr:to>
    <xdr:sp macro="" textlink="">
      <xdr:nvSpPr>
        <xdr:cNvPr id="23334" name="직사각형 23333">
          <a:extLst>
            <a:ext uri="{FF2B5EF4-FFF2-40B4-BE49-F238E27FC236}">
              <a16:creationId xmlns:a16="http://schemas.microsoft.com/office/drawing/2014/main" id="{DD832D7F-261F-8DE3-8A3E-D5C352846EA6}"/>
            </a:ext>
          </a:extLst>
        </xdr:cNvPr>
        <xdr:cNvSpPr/>
      </xdr:nvSpPr>
      <xdr:spPr>
        <a:xfrm>
          <a:off x="11367407" y="5400675"/>
          <a:ext cx="2041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26</xdr:row>
      <xdr:rowOff>104775</xdr:rowOff>
    </xdr:from>
    <xdr:to>
      <xdr:col>29</xdr:col>
      <xdr:colOff>71438</xdr:colOff>
      <xdr:row>26</xdr:row>
      <xdr:rowOff>104775</xdr:rowOff>
    </xdr:to>
    <xdr:cxnSp macro="">
      <xdr:nvCxnSpPr>
        <xdr:cNvPr id="23335" name="직선 화살표 연결선 23334">
          <a:extLst>
            <a:ext uri="{FF2B5EF4-FFF2-40B4-BE49-F238E27FC236}">
              <a16:creationId xmlns:a16="http://schemas.microsoft.com/office/drawing/2014/main" id="{A964E3B6-6F93-4917-9EE7-250A1227B355}"/>
            </a:ext>
          </a:extLst>
        </xdr:cNvPr>
        <xdr:cNvCxnSpPr/>
      </xdr:nvCxnSpPr>
      <xdr:spPr>
        <a:xfrm>
          <a:off x="11367407" y="5457825"/>
          <a:ext cx="102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25</xdr:row>
      <xdr:rowOff>47625</xdr:rowOff>
    </xdr:from>
    <xdr:to>
      <xdr:col>29</xdr:col>
      <xdr:colOff>61232</xdr:colOff>
      <xdr:row>25</xdr:row>
      <xdr:rowOff>161925</xdr:rowOff>
    </xdr:to>
    <xdr:sp macro="" textlink="">
      <xdr:nvSpPr>
        <xdr:cNvPr id="23336" name="직사각형 23335">
          <a:extLst>
            <a:ext uri="{FF2B5EF4-FFF2-40B4-BE49-F238E27FC236}">
              <a16:creationId xmlns:a16="http://schemas.microsoft.com/office/drawing/2014/main" id="{D9D52CE3-205C-1B8C-40A5-4E2F8E901AA6}"/>
            </a:ext>
          </a:extLst>
        </xdr:cNvPr>
        <xdr:cNvSpPr/>
      </xdr:nvSpPr>
      <xdr:spPr>
        <a:xfrm>
          <a:off x="11346997" y="5191125"/>
          <a:ext cx="2041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25</xdr:row>
      <xdr:rowOff>104775</xdr:rowOff>
    </xdr:from>
    <xdr:to>
      <xdr:col>29</xdr:col>
      <xdr:colOff>48985</xdr:colOff>
      <xdr:row>25</xdr:row>
      <xdr:rowOff>104775</xdr:rowOff>
    </xdr:to>
    <xdr:cxnSp macro="">
      <xdr:nvCxnSpPr>
        <xdr:cNvPr id="23337" name="직선 화살표 연결선 23336">
          <a:extLst>
            <a:ext uri="{FF2B5EF4-FFF2-40B4-BE49-F238E27FC236}">
              <a16:creationId xmlns:a16="http://schemas.microsoft.com/office/drawing/2014/main" id="{C96D99BC-EAB9-93E1-6011-B02EE18C0BE5}"/>
            </a:ext>
          </a:extLst>
        </xdr:cNvPr>
        <xdr:cNvCxnSpPr/>
      </xdr:nvCxnSpPr>
      <xdr:spPr>
        <a:xfrm>
          <a:off x="11346997" y="5248275"/>
          <a:ext cx="81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24</xdr:row>
      <xdr:rowOff>47625</xdr:rowOff>
    </xdr:from>
    <xdr:to>
      <xdr:col>29</xdr:col>
      <xdr:colOff>81643</xdr:colOff>
      <xdr:row>24</xdr:row>
      <xdr:rowOff>161925</xdr:rowOff>
    </xdr:to>
    <xdr:sp macro="" textlink="">
      <xdr:nvSpPr>
        <xdr:cNvPr id="23338" name="직사각형 23337">
          <a:extLst>
            <a:ext uri="{FF2B5EF4-FFF2-40B4-BE49-F238E27FC236}">
              <a16:creationId xmlns:a16="http://schemas.microsoft.com/office/drawing/2014/main" id="{978F925E-107F-99FB-EFD0-7D9B4302BC5C}"/>
            </a:ext>
          </a:extLst>
        </xdr:cNvPr>
        <xdr:cNvSpPr/>
      </xdr:nvSpPr>
      <xdr:spPr>
        <a:xfrm>
          <a:off x="11346997" y="4981575"/>
          <a:ext cx="40821"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24</xdr:row>
      <xdr:rowOff>104775</xdr:rowOff>
    </xdr:from>
    <xdr:to>
      <xdr:col>29</xdr:col>
      <xdr:colOff>59191</xdr:colOff>
      <xdr:row>24</xdr:row>
      <xdr:rowOff>104775</xdr:rowOff>
    </xdr:to>
    <xdr:cxnSp macro="">
      <xdr:nvCxnSpPr>
        <xdr:cNvPr id="23339" name="직선 화살표 연결선 23338">
          <a:extLst>
            <a:ext uri="{FF2B5EF4-FFF2-40B4-BE49-F238E27FC236}">
              <a16:creationId xmlns:a16="http://schemas.microsoft.com/office/drawing/2014/main" id="{BC1ACCA0-5913-A5BC-90A6-CC5B0C7E1C1A}"/>
            </a:ext>
          </a:extLst>
        </xdr:cNvPr>
        <xdr:cNvCxnSpPr/>
      </xdr:nvCxnSpPr>
      <xdr:spPr>
        <a:xfrm>
          <a:off x="11346997" y="5038725"/>
          <a:ext cx="1836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23</xdr:row>
      <xdr:rowOff>47625</xdr:rowOff>
    </xdr:from>
    <xdr:to>
      <xdr:col>29</xdr:col>
      <xdr:colOff>61232</xdr:colOff>
      <xdr:row>23</xdr:row>
      <xdr:rowOff>161925</xdr:rowOff>
    </xdr:to>
    <xdr:sp macro="" textlink="">
      <xdr:nvSpPr>
        <xdr:cNvPr id="23340" name="직사각형 23339">
          <a:extLst>
            <a:ext uri="{FF2B5EF4-FFF2-40B4-BE49-F238E27FC236}">
              <a16:creationId xmlns:a16="http://schemas.microsoft.com/office/drawing/2014/main" id="{2FA5C8F0-1EEC-CFF4-83FB-13563D7D2F4D}"/>
            </a:ext>
          </a:extLst>
        </xdr:cNvPr>
        <xdr:cNvSpPr/>
      </xdr:nvSpPr>
      <xdr:spPr>
        <a:xfrm>
          <a:off x="11285765" y="4772025"/>
          <a:ext cx="8164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23</xdr:row>
      <xdr:rowOff>104775</xdr:rowOff>
    </xdr:from>
    <xdr:to>
      <xdr:col>29</xdr:col>
      <xdr:colOff>16328</xdr:colOff>
      <xdr:row>23</xdr:row>
      <xdr:rowOff>104775</xdr:rowOff>
    </xdr:to>
    <xdr:cxnSp macro="">
      <xdr:nvCxnSpPr>
        <xdr:cNvPr id="23341" name="직선 화살표 연결선 23340">
          <a:extLst>
            <a:ext uri="{FF2B5EF4-FFF2-40B4-BE49-F238E27FC236}">
              <a16:creationId xmlns:a16="http://schemas.microsoft.com/office/drawing/2014/main" id="{02589937-E8E2-037C-DF18-E551EF1732A7}"/>
            </a:ext>
          </a:extLst>
        </xdr:cNvPr>
        <xdr:cNvCxnSpPr/>
      </xdr:nvCxnSpPr>
      <xdr:spPr>
        <a:xfrm>
          <a:off x="11285765" y="4829175"/>
          <a:ext cx="3673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22</xdr:row>
      <xdr:rowOff>47625</xdr:rowOff>
    </xdr:from>
    <xdr:to>
      <xdr:col>29</xdr:col>
      <xdr:colOff>81643</xdr:colOff>
      <xdr:row>22</xdr:row>
      <xdr:rowOff>161925</xdr:rowOff>
    </xdr:to>
    <xdr:sp macro="" textlink="">
      <xdr:nvSpPr>
        <xdr:cNvPr id="23342" name="직사각형 23341">
          <a:extLst>
            <a:ext uri="{FF2B5EF4-FFF2-40B4-BE49-F238E27FC236}">
              <a16:creationId xmlns:a16="http://schemas.microsoft.com/office/drawing/2014/main" id="{94E90530-E963-927F-7DCB-830A0A3400B4}"/>
            </a:ext>
          </a:extLst>
        </xdr:cNvPr>
        <xdr:cNvSpPr/>
      </xdr:nvSpPr>
      <xdr:spPr>
        <a:xfrm>
          <a:off x="11285765" y="4562475"/>
          <a:ext cx="10205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22</xdr:row>
      <xdr:rowOff>104775</xdr:rowOff>
    </xdr:from>
    <xdr:to>
      <xdr:col>29</xdr:col>
      <xdr:colOff>25514</xdr:colOff>
      <xdr:row>22</xdr:row>
      <xdr:rowOff>104775</xdr:rowOff>
    </xdr:to>
    <xdr:cxnSp macro="">
      <xdr:nvCxnSpPr>
        <xdr:cNvPr id="23343" name="직선 화살표 연결선 23342">
          <a:extLst>
            <a:ext uri="{FF2B5EF4-FFF2-40B4-BE49-F238E27FC236}">
              <a16:creationId xmlns:a16="http://schemas.microsoft.com/office/drawing/2014/main" id="{4E1BF5FD-28AA-6466-F702-57936782F55E}"/>
            </a:ext>
          </a:extLst>
        </xdr:cNvPr>
        <xdr:cNvCxnSpPr/>
      </xdr:nvCxnSpPr>
      <xdr:spPr>
        <a:xfrm>
          <a:off x="11285765" y="4619625"/>
          <a:ext cx="459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21</xdr:row>
      <xdr:rowOff>47625</xdr:rowOff>
    </xdr:from>
    <xdr:to>
      <xdr:col>34</xdr:col>
      <xdr:colOff>0</xdr:colOff>
      <xdr:row>21</xdr:row>
      <xdr:rowOff>161925</xdr:rowOff>
    </xdr:to>
    <xdr:sp macro="" textlink="">
      <xdr:nvSpPr>
        <xdr:cNvPr id="23344" name="직사각형 23343">
          <a:extLst>
            <a:ext uri="{FF2B5EF4-FFF2-40B4-BE49-F238E27FC236}">
              <a16:creationId xmlns:a16="http://schemas.microsoft.com/office/drawing/2014/main" id="{17310D73-5D0A-40AA-FC91-F34A24067323}"/>
            </a:ext>
          </a:extLst>
        </xdr:cNvPr>
        <xdr:cNvSpPr/>
      </xdr:nvSpPr>
      <xdr:spPr>
        <a:xfrm>
          <a:off x="11285765" y="4352925"/>
          <a:ext cx="734785"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21</xdr:row>
      <xdr:rowOff>104775</xdr:rowOff>
    </xdr:from>
    <xdr:to>
      <xdr:col>29</xdr:col>
      <xdr:colOff>80011</xdr:colOff>
      <xdr:row>21</xdr:row>
      <xdr:rowOff>104775</xdr:rowOff>
    </xdr:to>
    <xdr:cxnSp macro="">
      <xdr:nvCxnSpPr>
        <xdr:cNvPr id="23345" name="직선 화살표 연결선 23344">
          <a:extLst>
            <a:ext uri="{FF2B5EF4-FFF2-40B4-BE49-F238E27FC236}">
              <a16:creationId xmlns:a16="http://schemas.microsoft.com/office/drawing/2014/main" id="{8BBC04BF-642F-7ED6-BB0C-6BAF213B0D56}"/>
            </a:ext>
          </a:extLst>
        </xdr:cNvPr>
        <xdr:cNvCxnSpPr/>
      </xdr:nvCxnSpPr>
      <xdr:spPr>
        <a:xfrm>
          <a:off x="11285765" y="4410075"/>
          <a:ext cx="1004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122465</xdr:colOff>
      <xdr:row>20</xdr:row>
      <xdr:rowOff>47625</xdr:rowOff>
    </xdr:from>
    <xdr:to>
      <xdr:col>35</xdr:col>
      <xdr:colOff>0</xdr:colOff>
      <xdr:row>20</xdr:row>
      <xdr:rowOff>161925</xdr:rowOff>
    </xdr:to>
    <xdr:sp macro="" textlink="">
      <xdr:nvSpPr>
        <xdr:cNvPr id="23346" name="직사각형 23345">
          <a:extLst>
            <a:ext uri="{FF2B5EF4-FFF2-40B4-BE49-F238E27FC236}">
              <a16:creationId xmlns:a16="http://schemas.microsoft.com/office/drawing/2014/main" id="{BFFA0C99-0C81-5F72-1F2C-CF762574CFE4}"/>
            </a:ext>
          </a:extLst>
        </xdr:cNvPr>
        <xdr:cNvSpPr/>
      </xdr:nvSpPr>
      <xdr:spPr>
        <a:xfrm>
          <a:off x="12143015" y="4143375"/>
          <a:ext cx="2041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122465</xdr:colOff>
      <xdr:row>20</xdr:row>
      <xdr:rowOff>104775</xdr:rowOff>
    </xdr:from>
    <xdr:to>
      <xdr:col>34</xdr:col>
      <xdr:colOff>122465</xdr:colOff>
      <xdr:row>20</xdr:row>
      <xdr:rowOff>104775</xdr:rowOff>
    </xdr:to>
    <xdr:cxnSp macro="">
      <xdr:nvCxnSpPr>
        <xdr:cNvPr id="23347" name="직선 화살표 연결선 23346">
          <a:extLst>
            <a:ext uri="{FF2B5EF4-FFF2-40B4-BE49-F238E27FC236}">
              <a16:creationId xmlns:a16="http://schemas.microsoft.com/office/drawing/2014/main" id="{8C5D4740-EB63-7CDA-FDC4-46DA1195BEEF}"/>
            </a:ext>
          </a:extLst>
        </xdr:cNvPr>
        <xdr:cNvCxnSpPr/>
      </xdr:nvCxnSpPr>
      <xdr:spPr>
        <a:xfrm>
          <a:off x="12143015" y="42005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122465</xdr:colOff>
      <xdr:row>19</xdr:row>
      <xdr:rowOff>47625</xdr:rowOff>
    </xdr:from>
    <xdr:to>
      <xdr:col>35</xdr:col>
      <xdr:colOff>0</xdr:colOff>
      <xdr:row>19</xdr:row>
      <xdr:rowOff>161925</xdr:rowOff>
    </xdr:to>
    <xdr:sp macro="" textlink="">
      <xdr:nvSpPr>
        <xdr:cNvPr id="23348" name="직사각형 23347">
          <a:extLst>
            <a:ext uri="{FF2B5EF4-FFF2-40B4-BE49-F238E27FC236}">
              <a16:creationId xmlns:a16="http://schemas.microsoft.com/office/drawing/2014/main" id="{96F0DE1F-8E47-07C6-A56B-E62CF7B8CD22}"/>
            </a:ext>
          </a:extLst>
        </xdr:cNvPr>
        <xdr:cNvSpPr/>
      </xdr:nvSpPr>
      <xdr:spPr>
        <a:xfrm>
          <a:off x="12143015" y="3933825"/>
          <a:ext cx="2041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122465</xdr:colOff>
      <xdr:row>19</xdr:row>
      <xdr:rowOff>104775</xdr:rowOff>
    </xdr:from>
    <xdr:to>
      <xdr:col>34</xdr:col>
      <xdr:colOff>122465</xdr:colOff>
      <xdr:row>19</xdr:row>
      <xdr:rowOff>104775</xdr:rowOff>
    </xdr:to>
    <xdr:cxnSp macro="">
      <xdr:nvCxnSpPr>
        <xdr:cNvPr id="23349" name="직선 화살표 연결선 23348">
          <a:extLst>
            <a:ext uri="{FF2B5EF4-FFF2-40B4-BE49-F238E27FC236}">
              <a16:creationId xmlns:a16="http://schemas.microsoft.com/office/drawing/2014/main" id="{4D7EAE12-7DEE-7F5F-196A-41F1AB40932E}"/>
            </a:ext>
          </a:extLst>
        </xdr:cNvPr>
        <xdr:cNvCxnSpPr/>
      </xdr:nvCxnSpPr>
      <xdr:spPr>
        <a:xfrm>
          <a:off x="12143015" y="39909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18</xdr:row>
      <xdr:rowOff>47625</xdr:rowOff>
    </xdr:from>
    <xdr:to>
      <xdr:col>34</xdr:col>
      <xdr:colOff>122465</xdr:colOff>
      <xdr:row>18</xdr:row>
      <xdr:rowOff>161925</xdr:rowOff>
    </xdr:to>
    <xdr:sp macro="" textlink="">
      <xdr:nvSpPr>
        <xdr:cNvPr id="23350" name="직사각형 23349">
          <a:extLst>
            <a:ext uri="{FF2B5EF4-FFF2-40B4-BE49-F238E27FC236}">
              <a16:creationId xmlns:a16="http://schemas.microsoft.com/office/drawing/2014/main" id="{AC5F92F7-1DB1-F0BD-66B7-368710BD1D9C}"/>
            </a:ext>
          </a:extLst>
        </xdr:cNvPr>
        <xdr:cNvSpPr/>
      </xdr:nvSpPr>
      <xdr:spPr>
        <a:xfrm>
          <a:off x="12102193" y="3724275"/>
          <a:ext cx="4082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18</xdr:row>
      <xdr:rowOff>104775</xdr:rowOff>
    </xdr:from>
    <xdr:to>
      <xdr:col>34</xdr:col>
      <xdr:colOff>81643</xdr:colOff>
      <xdr:row>18</xdr:row>
      <xdr:rowOff>104775</xdr:rowOff>
    </xdr:to>
    <xdr:cxnSp macro="">
      <xdr:nvCxnSpPr>
        <xdr:cNvPr id="23351" name="직선 화살표 연결선 23350">
          <a:extLst>
            <a:ext uri="{FF2B5EF4-FFF2-40B4-BE49-F238E27FC236}">
              <a16:creationId xmlns:a16="http://schemas.microsoft.com/office/drawing/2014/main" id="{ED92B0B7-ABB6-2263-1315-428FB1A09F0D}"/>
            </a:ext>
          </a:extLst>
        </xdr:cNvPr>
        <xdr:cNvCxnSpPr/>
      </xdr:nvCxnSpPr>
      <xdr:spPr>
        <a:xfrm>
          <a:off x="12102193" y="37814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40822</xdr:colOff>
      <xdr:row>17</xdr:row>
      <xdr:rowOff>47625</xdr:rowOff>
    </xdr:from>
    <xdr:to>
      <xdr:col>34</xdr:col>
      <xdr:colOff>81643</xdr:colOff>
      <xdr:row>17</xdr:row>
      <xdr:rowOff>161925</xdr:rowOff>
    </xdr:to>
    <xdr:sp macro="" textlink="">
      <xdr:nvSpPr>
        <xdr:cNvPr id="23352" name="직사각형 23351">
          <a:extLst>
            <a:ext uri="{FF2B5EF4-FFF2-40B4-BE49-F238E27FC236}">
              <a16:creationId xmlns:a16="http://schemas.microsoft.com/office/drawing/2014/main" id="{7101111B-E7A3-ECB5-6633-86830F3D3455}"/>
            </a:ext>
          </a:extLst>
        </xdr:cNvPr>
        <xdr:cNvSpPr/>
      </xdr:nvSpPr>
      <xdr:spPr>
        <a:xfrm>
          <a:off x="12061372" y="3514725"/>
          <a:ext cx="4082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40822</xdr:colOff>
      <xdr:row>17</xdr:row>
      <xdr:rowOff>104775</xdr:rowOff>
    </xdr:from>
    <xdr:to>
      <xdr:col>34</xdr:col>
      <xdr:colOff>40822</xdr:colOff>
      <xdr:row>17</xdr:row>
      <xdr:rowOff>104775</xdr:rowOff>
    </xdr:to>
    <xdr:cxnSp macro="">
      <xdr:nvCxnSpPr>
        <xdr:cNvPr id="23353" name="직선 화살표 연결선 23352">
          <a:extLst>
            <a:ext uri="{FF2B5EF4-FFF2-40B4-BE49-F238E27FC236}">
              <a16:creationId xmlns:a16="http://schemas.microsoft.com/office/drawing/2014/main" id="{F6FBD620-92B9-CF9C-824C-F10A39FAA3D3}"/>
            </a:ext>
          </a:extLst>
        </xdr:cNvPr>
        <xdr:cNvCxnSpPr/>
      </xdr:nvCxnSpPr>
      <xdr:spPr>
        <a:xfrm>
          <a:off x="12061372" y="357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40822</xdr:colOff>
      <xdr:row>16</xdr:row>
      <xdr:rowOff>47625</xdr:rowOff>
    </xdr:from>
    <xdr:to>
      <xdr:col>35</xdr:col>
      <xdr:colOff>0</xdr:colOff>
      <xdr:row>16</xdr:row>
      <xdr:rowOff>161925</xdr:rowOff>
    </xdr:to>
    <xdr:sp macro="" textlink="">
      <xdr:nvSpPr>
        <xdr:cNvPr id="23354" name="직사각형 23353">
          <a:extLst>
            <a:ext uri="{FF2B5EF4-FFF2-40B4-BE49-F238E27FC236}">
              <a16:creationId xmlns:a16="http://schemas.microsoft.com/office/drawing/2014/main" id="{5C6222D0-7B5E-CD37-115C-9D18B549A790}"/>
            </a:ext>
          </a:extLst>
        </xdr:cNvPr>
        <xdr:cNvSpPr/>
      </xdr:nvSpPr>
      <xdr:spPr>
        <a:xfrm>
          <a:off x="12061372" y="3305175"/>
          <a:ext cx="10205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40822</xdr:colOff>
      <xdr:row>16</xdr:row>
      <xdr:rowOff>104775</xdr:rowOff>
    </xdr:from>
    <xdr:to>
      <xdr:col>34</xdr:col>
      <xdr:colOff>40822</xdr:colOff>
      <xdr:row>16</xdr:row>
      <xdr:rowOff>104775</xdr:rowOff>
    </xdr:to>
    <xdr:cxnSp macro="">
      <xdr:nvCxnSpPr>
        <xdr:cNvPr id="23355" name="직선 화살표 연결선 23354">
          <a:extLst>
            <a:ext uri="{FF2B5EF4-FFF2-40B4-BE49-F238E27FC236}">
              <a16:creationId xmlns:a16="http://schemas.microsoft.com/office/drawing/2014/main" id="{89B3FB64-5287-F5D8-98D4-A9DAD4AA8AD4}"/>
            </a:ext>
          </a:extLst>
        </xdr:cNvPr>
        <xdr:cNvCxnSpPr/>
      </xdr:nvCxnSpPr>
      <xdr:spPr>
        <a:xfrm>
          <a:off x="12061372" y="33623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40822</xdr:colOff>
      <xdr:row>15</xdr:row>
      <xdr:rowOff>47625</xdr:rowOff>
    </xdr:from>
    <xdr:to>
      <xdr:col>34</xdr:col>
      <xdr:colOff>0</xdr:colOff>
      <xdr:row>15</xdr:row>
      <xdr:rowOff>161925</xdr:rowOff>
    </xdr:to>
    <xdr:sp macro="" textlink="">
      <xdr:nvSpPr>
        <xdr:cNvPr id="23356" name="직사각형 23355">
          <a:extLst>
            <a:ext uri="{FF2B5EF4-FFF2-40B4-BE49-F238E27FC236}">
              <a16:creationId xmlns:a16="http://schemas.microsoft.com/office/drawing/2014/main" id="{86097150-7DCC-7B88-80D2-F56E47D275CB}"/>
            </a:ext>
          </a:extLst>
        </xdr:cNvPr>
        <xdr:cNvSpPr/>
      </xdr:nvSpPr>
      <xdr:spPr>
        <a:xfrm>
          <a:off x="11918497" y="3095625"/>
          <a:ext cx="10205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40822</xdr:colOff>
      <xdr:row>15</xdr:row>
      <xdr:rowOff>104775</xdr:rowOff>
    </xdr:from>
    <xdr:to>
      <xdr:col>33</xdr:col>
      <xdr:colOff>40822</xdr:colOff>
      <xdr:row>15</xdr:row>
      <xdr:rowOff>104775</xdr:rowOff>
    </xdr:to>
    <xdr:cxnSp macro="">
      <xdr:nvCxnSpPr>
        <xdr:cNvPr id="23357" name="직선 화살표 연결선 23356">
          <a:extLst>
            <a:ext uri="{FF2B5EF4-FFF2-40B4-BE49-F238E27FC236}">
              <a16:creationId xmlns:a16="http://schemas.microsoft.com/office/drawing/2014/main" id="{8214C5A3-4B73-27B0-7579-8B4DFDDE7F93}"/>
            </a:ext>
          </a:extLst>
        </xdr:cNvPr>
        <xdr:cNvCxnSpPr/>
      </xdr:nvCxnSpPr>
      <xdr:spPr>
        <a:xfrm>
          <a:off x="11918497" y="31527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14</xdr:row>
      <xdr:rowOff>47625</xdr:rowOff>
    </xdr:from>
    <xdr:to>
      <xdr:col>33</xdr:col>
      <xdr:colOff>0</xdr:colOff>
      <xdr:row>14</xdr:row>
      <xdr:rowOff>161925</xdr:rowOff>
    </xdr:to>
    <xdr:sp macro="" textlink="">
      <xdr:nvSpPr>
        <xdr:cNvPr id="23358" name="직사각형 23357">
          <a:extLst>
            <a:ext uri="{FF2B5EF4-FFF2-40B4-BE49-F238E27FC236}">
              <a16:creationId xmlns:a16="http://schemas.microsoft.com/office/drawing/2014/main" id="{B2E80842-F4AA-5C46-20E9-52F93F46814D}"/>
            </a:ext>
          </a:extLst>
        </xdr:cNvPr>
        <xdr:cNvSpPr/>
      </xdr:nvSpPr>
      <xdr:spPr>
        <a:xfrm>
          <a:off x="11775622" y="2886075"/>
          <a:ext cx="10205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14</xdr:row>
      <xdr:rowOff>104775</xdr:rowOff>
    </xdr:from>
    <xdr:to>
      <xdr:col>32</xdr:col>
      <xdr:colOff>40822</xdr:colOff>
      <xdr:row>14</xdr:row>
      <xdr:rowOff>104775</xdr:rowOff>
    </xdr:to>
    <xdr:cxnSp macro="">
      <xdr:nvCxnSpPr>
        <xdr:cNvPr id="23359" name="직선 화살표 연결선 23358">
          <a:extLst>
            <a:ext uri="{FF2B5EF4-FFF2-40B4-BE49-F238E27FC236}">
              <a16:creationId xmlns:a16="http://schemas.microsoft.com/office/drawing/2014/main" id="{6D19FE1B-A183-460C-F792-63F7D67F8D97}"/>
            </a:ext>
          </a:extLst>
        </xdr:cNvPr>
        <xdr:cNvCxnSpPr/>
      </xdr:nvCxnSpPr>
      <xdr:spPr>
        <a:xfrm>
          <a:off x="11775622" y="29432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13</xdr:row>
      <xdr:rowOff>47625</xdr:rowOff>
    </xdr:from>
    <xdr:to>
      <xdr:col>32</xdr:col>
      <xdr:colOff>0</xdr:colOff>
      <xdr:row>13</xdr:row>
      <xdr:rowOff>161925</xdr:rowOff>
    </xdr:to>
    <xdr:sp macro="" textlink="">
      <xdr:nvSpPr>
        <xdr:cNvPr id="23360" name="직사각형 23359">
          <a:extLst>
            <a:ext uri="{FF2B5EF4-FFF2-40B4-BE49-F238E27FC236}">
              <a16:creationId xmlns:a16="http://schemas.microsoft.com/office/drawing/2014/main" id="{F5F07CF3-2B1C-B7F6-390D-FEAF782EC80B}"/>
            </a:ext>
          </a:extLst>
        </xdr:cNvPr>
        <xdr:cNvSpPr/>
      </xdr:nvSpPr>
      <xdr:spPr>
        <a:xfrm>
          <a:off x="11632747" y="2676525"/>
          <a:ext cx="10205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13</xdr:row>
      <xdr:rowOff>104775</xdr:rowOff>
    </xdr:from>
    <xdr:to>
      <xdr:col>31</xdr:col>
      <xdr:colOff>40822</xdr:colOff>
      <xdr:row>13</xdr:row>
      <xdr:rowOff>104775</xdr:rowOff>
    </xdr:to>
    <xdr:cxnSp macro="">
      <xdr:nvCxnSpPr>
        <xdr:cNvPr id="23361" name="직선 화살표 연결선 23360">
          <a:extLst>
            <a:ext uri="{FF2B5EF4-FFF2-40B4-BE49-F238E27FC236}">
              <a16:creationId xmlns:a16="http://schemas.microsoft.com/office/drawing/2014/main" id="{5DAB6528-1207-FFA7-6D96-AF7F4332EF0F}"/>
            </a:ext>
          </a:extLst>
        </xdr:cNvPr>
        <xdr:cNvCxnSpPr/>
      </xdr:nvCxnSpPr>
      <xdr:spPr>
        <a:xfrm>
          <a:off x="11632747" y="2733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12</xdr:row>
      <xdr:rowOff>47625</xdr:rowOff>
    </xdr:from>
    <xdr:to>
      <xdr:col>31</xdr:col>
      <xdr:colOff>0</xdr:colOff>
      <xdr:row>12</xdr:row>
      <xdr:rowOff>161925</xdr:rowOff>
    </xdr:to>
    <xdr:sp macro="" textlink="">
      <xdr:nvSpPr>
        <xdr:cNvPr id="23362" name="직사각형 23361">
          <a:extLst>
            <a:ext uri="{FF2B5EF4-FFF2-40B4-BE49-F238E27FC236}">
              <a16:creationId xmlns:a16="http://schemas.microsoft.com/office/drawing/2014/main" id="{97E555D4-9344-5D96-5138-7CDE8270520E}"/>
            </a:ext>
          </a:extLst>
        </xdr:cNvPr>
        <xdr:cNvSpPr/>
      </xdr:nvSpPr>
      <xdr:spPr>
        <a:xfrm>
          <a:off x="11489872" y="2466975"/>
          <a:ext cx="10205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12</xdr:row>
      <xdr:rowOff>104775</xdr:rowOff>
    </xdr:from>
    <xdr:to>
      <xdr:col>30</xdr:col>
      <xdr:colOff>40822</xdr:colOff>
      <xdr:row>12</xdr:row>
      <xdr:rowOff>104775</xdr:rowOff>
    </xdr:to>
    <xdr:cxnSp macro="">
      <xdr:nvCxnSpPr>
        <xdr:cNvPr id="23363" name="직선 화살표 연결선 23362">
          <a:extLst>
            <a:ext uri="{FF2B5EF4-FFF2-40B4-BE49-F238E27FC236}">
              <a16:creationId xmlns:a16="http://schemas.microsoft.com/office/drawing/2014/main" id="{72C426C4-7BF2-43F2-AFB3-E47CADEF3C64}"/>
            </a:ext>
          </a:extLst>
        </xdr:cNvPr>
        <xdr:cNvCxnSpPr/>
      </xdr:nvCxnSpPr>
      <xdr:spPr>
        <a:xfrm>
          <a:off x="11489872" y="25241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11</xdr:row>
      <xdr:rowOff>47625</xdr:rowOff>
    </xdr:from>
    <xdr:to>
      <xdr:col>30</xdr:col>
      <xdr:colOff>0</xdr:colOff>
      <xdr:row>11</xdr:row>
      <xdr:rowOff>161925</xdr:rowOff>
    </xdr:to>
    <xdr:sp macro="" textlink="">
      <xdr:nvSpPr>
        <xdr:cNvPr id="23364" name="직사각형 23363">
          <a:extLst>
            <a:ext uri="{FF2B5EF4-FFF2-40B4-BE49-F238E27FC236}">
              <a16:creationId xmlns:a16="http://schemas.microsoft.com/office/drawing/2014/main" id="{2A7F2984-43FF-FFC7-11EB-5EE900D5FB12}"/>
            </a:ext>
          </a:extLst>
        </xdr:cNvPr>
        <xdr:cNvSpPr/>
      </xdr:nvSpPr>
      <xdr:spPr>
        <a:xfrm>
          <a:off x="11346997" y="2257425"/>
          <a:ext cx="10205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11</xdr:row>
      <xdr:rowOff>104775</xdr:rowOff>
    </xdr:from>
    <xdr:to>
      <xdr:col>29</xdr:col>
      <xdr:colOff>40822</xdr:colOff>
      <xdr:row>11</xdr:row>
      <xdr:rowOff>104775</xdr:rowOff>
    </xdr:to>
    <xdr:cxnSp macro="">
      <xdr:nvCxnSpPr>
        <xdr:cNvPr id="23365" name="직선 화살표 연결선 23364">
          <a:extLst>
            <a:ext uri="{FF2B5EF4-FFF2-40B4-BE49-F238E27FC236}">
              <a16:creationId xmlns:a16="http://schemas.microsoft.com/office/drawing/2014/main" id="{3725D976-0DC0-5A9B-7177-3326EF5280AA}"/>
            </a:ext>
          </a:extLst>
        </xdr:cNvPr>
        <xdr:cNvCxnSpPr/>
      </xdr:nvCxnSpPr>
      <xdr:spPr>
        <a:xfrm>
          <a:off x="11346997" y="23145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10</xdr:row>
      <xdr:rowOff>47625</xdr:rowOff>
    </xdr:from>
    <xdr:to>
      <xdr:col>34</xdr:col>
      <xdr:colOff>0</xdr:colOff>
      <xdr:row>10</xdr:row>
      <xdr:rowOff>161925</xdr:rowOff>
    </xdr:to>
    <xdr:sp macro="" textlink="">
      <xdr:nvSpPr>
        <xdr:cNvPr id="23366" name="직사각형 23365">
          <a:extLst>
            <a:ext uri="{FF2B5EF4-FFF2-40B4-BE49-F238E27FC236}">
              <a16:creationId xmlns:a16="http://schemas.microsoft.com/office/drawing/2014/main" id="{136AB37A-775D-FECE-D556-C5BCC5F57BDB}"/>
            </a:ext>
          </a:extLst>
        </xdr:cNvPr>
        <xdr:cNvSpPr/>
      </xdr:nvSpPr>
      <xdr:spPr>
        <a:xfrm>
          <a:off x="11346997" y="2047875"/>
          <a:ext cx="67355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10</xdr:row>
      <xdr:rowOff>104775</xdr:rowOff>
    </xdr:from>
    <xdr:to>
      <xdr:col>29</xdr:col>
      <xdr:colOff>40822</xdr:colOff>
      <xdr:row>10</xdr:row>
      <xdr:rowOff>104775</xdr:rowOff>
    </xdr:to>
    <xdr:cxnSp macro="">
      <xdr:nvCxnSpPr>
        <xdr:cNvPr id="23367" name="직선 화살표 연결선 23366">
          <a:extLst>
            <a:ext uri="{FF2B5EF4-FFF2-40B4-BE49-F238E27FC236}">
              <a16:creationId xmlns:a16="http://schemas.microsoft.com/office/drawing/2014/main" id="{C134890A-DB5D-D7A1-7990-5BAAD9356745}"/>
            </a:ext>
          </a:extLst>
        </xdr:cNvPr>
        <xdr:cNvCxnSpPr/>
      </xdr:nvCxnSpPr>
      <xdr:spPr>
        <a:xfrm>
          <a:off x="11346997" y="21050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122465</xdr:colOff>
      <xdr:row>9</xdr:row>
      <xdr:rowOff>47625</xdr:rowOff>
    </xdr:from>
    <xdr:to>
      <xdr:col>30</xdr:col>
      <xdr:colOff>0</xdr:colOff>
      <xdr:row>9</xdr:row>
      <xdr:rowOff>161925</xdr:rowOff>
    </xdr:to>
    <xdr:sp macro="" textlink="">
      <xdr:nvSpPr>
        <xdr:cNvPr id="23368" name="직사각형 23367">
          <a:extLst>
            <a:ext uri="{FF2B5EF4-FFF2-40B4-BE49-F238E27FC236}">
              <a16:creationId xmlns:a16="http://schemas.microsoft.com/office/drawing/2014/main" id="{C13CC648-F3F2-C744-0EC7-0007285E5C6A}"/>
            </a:ext>
          </a:extLst>
        </xdr:cNvPr>
        <xdr:cNvSpPr/>
      </xdr:nvSpPr>
      <xdr:spPr>
        <a:xfrm>
          <a:off x="11428640" y="1838325"/>
          <a:ext cx="2041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122465</xdr:colOff>
      <xdr:row>9</xdr:row>
      <xdr:rowOff>104775</xdr:rowOff>
    </xdr:from>
    <xdr:to>
      <xdr:col>29</xdr:col>
      <xdr:colOff>122465</xdr:colOff>
      <xdr:row>9</xdr:row>
      <xdr:rowOff>104775</xdr:rowOff>
    </xdr:to>
    <xdr:cxnSp macro="">
      <xdr:nvCxnSpPr>
        <xdr:cNvPr id="23369" name="직선 화살표 연결선 23368">
          <a:extLst>
            <a:ext uri="{FF2B5EF4-FFF2-40B4-BE49-F238E27FC236}">
              <a16:creationId xmlns:a16="http://schemas.microsoft.com/office/drawing/2014/main" id="{08BB8065-BBB5-AA5C-3D54-6EF02174EC8E}"/>
            </a:ext>
          </a:extLst>
        </xdr:cNvPr>
        <xdr:cNvCxnSpPr/>
      </xdr:nvCxnSpPr>
      <xdr:spPr>
        <a:xfrm>
          <a:off x="11428640" y="189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8</xdr:row>
      <xdr:rowOff>47625</xdr:rowOff>
    </xdr:from>
    <xdr:to>
      <xdr:col>29</xdr:col>
      <xdr:colOff>122465</xdr:colOff>
      <xdr:row>8</xdr:row>
      <xdr:rowOff>161925</xdr:rowOff>
    </xdr:to>
    <xdr:sp macro="" textlink="">
      <xdr:nvSpPr>
        <xdr:cNvPr id="23370" name="직사각형 23369">
          <a:extLst>
            <a:ext uri="{FF2B5EF4-FFF2-40B4-BE49-F238E27FC236}">
              <a16:creationId xmlns:a16="http://schemas.microsoft.com/office/drawing/2014/main" id="{6B0C3C81-6083-D934-D2D5-A0E037676487}"/>
            </a:ext>
          </a:extLst>
        </xdr:cNvPr>
        <xdr:cNvSpPr/>
      </xdr:nvSpPr>
      <xdr:spPr>
        <a:xfrm>
          <a:off x="11285765" y="1628775"/>
          <a:ext cx="142875"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8</xdr:row>
      <xdr:rowOff>104775</xdr:rowOff>
    </xdr:from>
    <xdr:to>
      <xdr:col>29</xdr:col>
      <xdr:colOff>122465</xdr:colOff>
      <xdr:row>8</xdr:row>
      <xdr:rowOff>104775</xdr:rowOff>
    </xdr:to>
    <xdr:cxnSp macro="">
      <xdr:nvCxnSpPr>
        <xdr:cNvPr id="23371" name="직선 화살표 연결선 23370">
          <a:extLst>
            <a:ext uri="{FF2B5EF4-FFF2-40B4-BE49-F238E27FC236}">
              <a16:creationId xmlns:a16="http://schemas.microsoft.com/office/drawing/2014/main" id="{6786ED8A-0948-0F84-B4C8-885312867BF0}"/>
            </a:ext>
          </a:extLst>
        </xdr:cNvPr>
        <xdr:cNvCxnSpPr/>
      </xdr:nvCxnSpPr>
      <xdr:spPr>
        <a:xfrm>
          <a:off x="11285765" y="168592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7</xdr:row>
      <xdr:rowOff>47625</xdr:rowOff>
    </xdr:from>
    <xdr:to>
      <xdr:col>30</xdr:col>
      <xdr:colOff>0</xdr:colOff>
      <xdr:row>7</xdr:row>
      <xdr:rowOff>161925</xdr:rowOff>
    </xdr:to>
    <xdr:sp macro="" textlink="">
      <xdr:nvSpPr>
        <xdr:cNvPr id="23372" name="직사각형 23371">
          <a:extLst>
            <a:ext uri="{FF2B5EF4-FFF2-40B4-BE49-F238E27FC236}">
              <a16:creationId xmlns:a16="http://schemas.microsoft.com/office/drawing/2014/main" id="{05C8A427-7386-B980-E27D-EAEC21382944}"/>
            </a:ext>
          </a:extLst>
        </xdr:cNvPr>
        <xdr:cNvSpPr/>
      </xdr:nvSpPr>
      <xdr:spPr>
        <a:xfrm>
          <a:off x="11285765" y="1419225"/>
          <a:ext cx="163285"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7</xdr:row>
      <xdr:rowOff>104775</xdr:rowOff>
    </xdr:from>
    <xdr:to>
      <xdr:col>30</xdr:col>
      <xdr:colOff>0</xdr:colOff>
      <xdr:row>7</xdr:row>
      <xdr:rowOff>104775</xdr:rowOff>
    </xdr:to>
    <xdr:cxnSp macro="">
      <xdr:nvCxnSpPr>
        <xdr:cNvPr id="23373" name="직선 화살표 연결선 23372">
          <a:extLst>
            <a:ext uri="{FF2B5EF4-FFF2-40B4-BE49-F238E27FC236}">
              <a16:creationId xmlns:a16="http://schemas.microsoft.com/office/drawing/2014/main" id="{B99A08B3-E102-B103-707E-4B28B6222E07}"/>
            </a:ext>
          </a:extLst>
        </xdr:cNvPr>
        <xdr:cNvCxnSpPr/>
      </xdr:nvCxnSpPr>
      <xdr:spPr>
        <a:xfrm>
          <a:off x="11285765" y="1476375"/>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6</xdr:row>
      <xdr:rowOff>47625</xdr:rowOff>
    </xdr:from>
    <xdr:to>
      <xdr:col>29</xdr:col>
      <xdr:colOff>0</xdr:colOff>
      <xdr:row>6</xdr:row>
      <xdr:rowOff>161925</xdr:rowOff>
    </xdr:to>
    <xdr:sp macro="" textlink="">
      <xdr:nvSpPr>
        <xdr:cNvPr id="23374" name="직사각형 23373">
          <a:extLst>
            <a:ext uri="{FF2B5EF4-FFF2-40B4-BE49-F238E27FC236}">
              <a16:creationId xmlns:a16="http://schemas.microsoft.com/office/drawing/2014/main" id="{C4BB7AE7-30BF-2155-2FBA-2CF5FC831BDD}"/>
            </a:ext>
          </a:extLst>
        </xdr:cNvPr>
        <xdr:cNvSpPr/>
      </xdr:nvSpPr>
      <xdr:spPr>
        <a:xfrm>
          <a:off x="11285765" y="1209675"/>
          <a:ext cx="2041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6</xdr:row>
      <xdr:rowOff>104775</xdr:rowOff>
    </xdr:from>
    <xdr:to>
      <xdr:col>29</xdr:col>
      <xdr:colOff>0</xdr:colOff>
      <xdr:row>6</xdr:row>
      <xdr:rowOff>104775</xdr:rowOff>
    </xdr:to>
    <xdr:cxnSp macro="">
      <xdr:nvCxnSpPr>
        <xdr:cNvPr id="23375" name="직선 화살표 연결선 23374">
          <a:extLst>
            <a:ext uri="{FF2B5EF4-FFF2-40B4-BE49-F238E27FC236}">
              <a16:creationId xmlns:a16="http://schemas.microsoft.com/office/drawing/2014/main" id="{FEC1FF03-316B-19DA-E3A2-6D46E854CF50}"/>
            </a:ext>
          </a:extLst>
        </xdr:cNvPr>
        <xdr:cNvCxnSpPr/>
      </xdr:nvCxnSpPr>
      <xdr:spPr>
        <a:xfrm>
          <a:off x="11285765" y="12668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5</xdr:row>
      <xdr:rowOff>47625</xdr:rowOff>
    </xdr:from>
    <xdr:to>
      <xdr:col>30</xdr:col>
      <xdr:colOff>0</xdr:colOff>
      <xdr:row>5</xdr:row>
      <xdr:rowOff>161925</xdr:rowOff>
    </xdr:to>
    <xdr:sp macro="" textlink="">
      <xdr:nvSpPr>
        <xdr:cNvPr id="23376" name="직사각형 23375">
          <a:extLst>
            <a:ext uri="{FF2B5EF4-FFF2-40B4-BE49-F238E27FC236}">
              <a16:creationId xmlns:a16="http://schemas.microsoft.com/office/drawing/2014/main" id="{B7E0D48F-A0C0-FE5B-3153-695A906345B8}"/>
            </a:ext>
          </a:extLst>
        </xdr:cNvPr>
        <xdr:cNvSpPr/>
      </xdr:nvSpPr>
      <xdr:spPr>
        <a:xfrm>
          <a:off x="11285765" y="1000125"/>
          <a:ext cx="163285"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5</xdr:row>
      <xdr:rowOff>104775</xdr:rowOff>
    </xdr:from>
    <xdr:to>
      <xdr:col>30</xdr:col>
      <xdr:colOff>0</xdr:colOff>
      <xdr:row>5</xdr:row>
      <xdr:rowOff>104775</xdr:rowOff>
    </xdr:to>
    <xdr:cxnSp macro="">
      <xdr:nvCxnSpPr>
        <xdr:cNvPr id="23377" name="직선 화살표 연결선 23376">
          <a:extLst>
            <a:ext uri="{FF2B5EF4-FFF2-40B4-BE49-F238E27FC236}">
              <a16:creationId xmlns:a16="http://schemas.microsoft.com/office/drawing/2014/main" id="{773EFDBB-F5C6-5C4A-CEE9-7499E39B160F}"/>
            </a:ext>
          </a:extLst>
        </xdr:cNvPr>
        <xdr:cNvCxnSpPr/>
      </xdr:nvCxnSpPr>
      <xdr:spPr>
        <a:xfrm>
          <a:off x="11285765" y="1057275"/>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4</xdr:row>
      <xdr:rowOff>47625</xdr:rowOff>
    </xdr:from>
    <xdr:to>
      <xdr:col>35</xdr:col>
      <xdr:colOff>0</xdr:colOff>
      <xdr:row>4</xdr:row>
      <xdr:rowOff>161925</xdr:rowOff>
    </xdr:to>
    <xdr:sp macro="" textlink="">
      <xdr:nvSpPr>
        <xdr:cNvPr id="23378" name="직사각형 23377">
          <a:extLst>
            <a:ext uri="{FF2B5EF4-FFF2-40B4-BE49-F238E27FC236}">
              <a16:creationId xmlns:a16="http://schemas.microsoft.com/office/drawing/2014/main" id="{EBA15493-420C-8773-A163-CAC189ED5186}"/>
            </a:ext>
          </a:extLst>
        </xdr:cNvPr>
        <xdr:cNvSpPr/>
      </xdr:nvSpPr>
      <xdr:spPr>
        <a:xfrm>
          <a:off x="11285765" y="790575"/>
          <a:ext cx="87766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4</xdr:row>
      <xdr:rowOff>104775</xdr:rowOff>
    </xdr:from>
    <xdr:to>
      <xdr:col>29</xdr:col>
      <xdr:colOff>130911</xdr:colOff>
      <xdr:row>4</xdr:row>
      <xdr:rowOff>104775</xdr:rowOff>
    </xdr:to>
    <xdr:cxnSp macro="">
      <xdr:nvCxnSpPr>
        <xdr:cNvPr id="23379" name="직선 화살표 연결선 23378">
          <a:extLst>
            <a:ext uri="{FF2B5EF4-FFF2-40B4-BE49-F238E27FC236}">
              <a16:creationId xmlns:a16="http://schemas.microsoft.com/office/drawing/2014/main" id="{8E3D96AD-24AE-837C-9FA8-462F3AABDB3B}"/>
            </a:ext>
          </a:extLst>
        </xdr:cNvPr>
        <xdr:cNvCxnSpPr/>
      </xdr:nvCxnSpPr>
      <xdr:spPr>
        <a:xfrm>
          <a:off x="11285765" y="847725"/>
          <a:ext cx="1513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180975</xdr:colOff>
      <xdr:row>5</xdr:row>
      <xdr:rowOff>0</xdr:rowOff>
    </xdr:from>
    <xdr:to>
      <xdr:col>12</xdr:col>
      <xdr:colOff>581025</xdr:colOff>
      <xdr:row>18</xdr:row>
      <xdr:rowOff>76200</xdr:rowOff>
    </xdr:to>
    <xdr:graphicFrame macro="">
      <xdr:nvGraphicFramePr>
        <xdr:cNvPr id="2" name="차트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a:ln>
        <a:ln w="12700" cap="flat" cmpd="sng" algn="ctr">
          <a:solidFill>
            <a:schemeClr val="phClr"/>
          </a:solidFill>
          <a:prstDash val="solid"/>
          <a:miter/>
        </a:ln>
        <a:ln w="19050" cap="flat" cmpd="sng" algn="ctr">
          <a:solidFill>
            <a:schemeClr val="phClr"/>
          </a:solidFill>
          <a:prstDash val="solid"/>
          <a:miter/>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xlworks.net/"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zoomScaleSheetLayoutView="75" workbookViewId="0">
      <selection activeCell="B19" sqref="B19"/>
    </sheetView>
  </sheetViews>
  <sheetFormatPr defaultColWidth="10" defaultRowHeight="12.75"/>
  <cols>
    <col min="1" max="1" width="28.25" style="80" bestFit="1" customWidth="1"/>
    <col min="2" max="2" width="23.125" style="79" bestFit="1" customWidth="1"/>
    <col min="3" max="3" width="21.75" style="79" customWidth="1"/>
    <col min="4" max="4" width="27.375" style="79" bestFit="1" customWidth="1"/>
    <col min="5" max="5" width="12.875" style="79" bestFit="1" customWidth="1"/>
    <col min="6" max="6" width="17.75" style="79" bestFit="1" customWidth="1"/>
    <col min="7" max="7" width="21.875" style="80" bestFit="1" customWidth="1"/>
    <col min="8" max="8" width="23.75" style="80" bestFit="1" customWidth="1"/>
    <col min="9" max="9" width="9.75" style="80" bestFit="1" customWidth="1"/>
    <col min="10" max="10" width="25.125" style="80" bestFit="1" customWidth="1"/>
    <col min="11" max="11" width="4.875" style="80" bestFit="1" customWidth="1"/>
    <col min="12" max="12" width="25.125" style="80" bestFit="1" customWidth="1"/>
    <col min="13" max="13" width="4.875" style="80" bestFit="1" customWidth="1"/>
    <col min="14" max="14" width="23" style="80" bestFit="1" customWidth="1"/>
    <col min="15" max="15" width="14.5" style="80" customWidth="1"/>
    <col min="16" max="16" width="28.375" style="80" bestFit="1" customWidth="1"/>
    <col min="17" max="17" width="9.5" style="80" bestFit="1" customWidth="1"/>
    <col min="18" max="18" width="27.75" style="80" bestFit="1" customWidth="1"/>
    <col min="19" max="19" width="4.875" style="80" bestFit="1" customWidth="1"/>
    <col min="20" max="20" width="25" style="80" bestFit="1" customWidth="1"/>
    <col min="21" max="21" width="4.375" style="80" bestFit="1" customWidth="1"/>
    <col min="22" max="22" width="23" style="80" bestFit="1" customWidth="1"/>
    <col min="23" max="23" width="8.125" style="80" bestFit="1" customWidth="1"/>
    <col min="24" max="24" width="22.625" style="80" bestFit="1" customWidth="1"/>
    <col min="25" max="25" width="9.5" style="80" bestFit="1" customWidth="1"/>
    <col min="26" max="26" width="26.25" style="80" bestFit="1" customWidth="1"/>
    <col min="27" max="27" width="7.875" style="80" bestFit="1" customWidth="1"/>
    <col min="28" max="28" width="21.25" style="80" bestFit="1" customWidth="1"/>
    <col min="29" max="29" width="15.625" style="80" bestFit="1" customWidth="1"/>
    <col min="30" max="30" width="23.5" style="80" bestFit="1" customWidth="1"/>
    <col min="31" max="31" width="15.25" style="80" bestFit="1" customWidth="1"/>
    <col min="32" max="32" width="22.625" style="80" bestFit="1" customWidth="1"/>
    <col min="33" max="33" width="60.875" style="80" bestFit="1" customWidth="1"/>
    <col min="34" max="34" width="28.375" style="80" bestFit="1" customWidth="1"/>
    <col min="35" max="35" width="11.5" style="80" bestFit="1" customWidth="1"/>
    <col min="36" max="36" width="25.125" style="80" bestFit="1" customWidth="1"/>
    <col min="37" max="37" width="4" style="80" bestFit="1" customWidth="1"/>
    <col min="38" max="38" width="14.875" style="80" bestFit="1" customWidth="1"/>
    <col min="39" max="39" width="11.625" style="80" bestFit="1" customWidth="1"/>
    <col min="40" max="40" width="22.625" style="80" bestFit="1" customWidth="1"/>
    <col min="41" max="41" width="5.875" style="80" bestFit="1" customWidth="1"/>
    <col min="42" max="42" width="15.875" style="80" bestFit="1" customWidth="1"/>
    <col min="43" max="43" width="6.375" style="80" bestFit="1" customWidth="1"/>
    <col min="44" max="44" width="13.25" style="80" bestFit="1" customWidth="1"/>
    <col min="45" max="45" width="3.25" style="80" bestFit="1" customWidth="1"/>
    <col min="46" max="46" width="14.875" style="80" bestFit="1" customWidth="1"/>
    <col min="47" max="47" width="28.625" style="80" bestFit="1" customWidth="1"/>
    <col min="48" max="48" width="22.625" style="80" bestFit="1" customWidth="1"/>
    <col min="49" max="49" width="5.375" style="80" bestFit="1" customWidth="1"/>
    <col min="50" max="50" width="15.875" style="80" bestFit="1" customWidth="1"/>
    <col min="51" max="51" width="10" style="80"/>
    <col min="52" max="52" width="13.25" style="80" bestFit="1" customWidth="1"/>
    <col min="53" max="53" width="10" style="80"/>
    <col min="54" max="54" width="14.875" style="80" bestFit="1" customWidth="1"/>
    <col min="55" max="55" width="10" style="80"/>
    <col min="56" max="56" width="22.625" style="80" bestFit="1" customWidth="1"/>
    <col min="57" max="57" width="10" style="80"/>
    <col min="58" max="58" width="15.875" style="80" bestFit="1" customWidth="1"/>
    <col min="59" max="59" width="10" style="80"/>
    <col min="60" max="60" width="13.25" style="80" bestFit="1" customWidth="1"/>
    <col min="61" max="61" width="10" style="80"/>
    <col min="62" max="62" width="14.875" style="80" bestFit="1" customWidth="1"/>
    <col min="63" max="63" width="10" style="80"/>
    <col min="64" max="64" width="22.625" style="80" bestFit="1" customWidth="1"/>
    <col min="65" max="65" width="10" style="80"/>
    <col min="66" max="66" width="33.75" style="80" bestFit="1" customWidth="1"/>
    <col min="67" max="16384" width="10" style="80"/>
  </cols>
  <sheetData>
    <row r="1" spans="1:64" s="79" customFormat="1">
      <c r="A1" s="78" t="s">
        <v>911</v>
      </c>
      <c r="B1" s="78" t="s">
        <v>944</v>
      </c>
      <c r="C1" s="78" t="s">
        <v>953</v>
      </c>
      <c r="D1" s="78" t="s">
        <v>947</v>
      </c>
      <c r="E1" s="78" t="s">
        <v>220</v>
      </c>
      <c r="F1" s="78" t="s">
        <v>229</v>
      </c>
    </row>
    <row r="2" spans="1:64">
      <c r="A2" s="80" t="s">
        <v>954</v>
      </c>
      <c r="B2" s="79" t="s">
        <v>956</v>
      </c>
      <c r="E2" s="79" t="s">
        <v>221</v>
      </c>
    </row>
    <row r="3" spans="1:64">
      <c r="A3" s="80" t="s">
        <v>802</v>
      </c>
      <c r="B3" s="79" t="s">
        <v>956</v>
      </c>
      <c r="E3" s="79" t="s">
        <v>221</v>
      </c>
    </row>
    <row r="4" spans="1:64">
      <c r="A4" s="80" t="s">
        <v>230</v>
      </c>
      <c r="B4" s="88" t="s">
        <v>416</v>
      </c>
      <c r="E4" s="79" t="s">
        <v>221</v>
      </c>
    </row>
    <row r="5" spans="1:64">
      <c r="A5" s="80" t="s">
        <v>243</v>
      </c>
      <c r="B5" s="79" t="s">
        <v>913</v>
      </c>
      <c r="E5" s="79" t="s">
        <v>221</v>
      </c>
    </row>
    <row r="6" spans="1:64">
      <c r="A6" s="80" t="s">
        <v>249</v>
      </c>
      <c r="B6" s="88" t="s">
        <v>422</v>
      </c>
      <c r="E6" s="79" t="s">
        <v>221</v>
      </c>
    </row>
    <row r="7" spans="1:64">
      <c r="A7" s="80" t="s">
        <v>369</v>
      </c>
      <c r="B7" s="80" t="s">
        <v>956</v>
      </c>
      <c r="E7" s="79" t="s">
        <v>221</v>
      </c>
    </row>
    <row r="8" spans="1:64">
      <c r="A8" s="80" t="s">
        <v>906</v>
      </c>
      <c r="B8" s="81" t="s">
        <v>972</v>
      </c>
      <c r="C8" s="79" t="s">
        <v>1224</v>
      </c>
      <c r="D8" s="79">
        <v>82</v>
      </c>
      <c r="E8" s="79" t="s">
        <v>221</v>
      </c>
    </row>
    <row r="9" spans="1:64">
      <c r="A9" s="80" t="s">
        <v>225</v>
      </c>
      <c r="B9" s="82">
        <v>43387</v>
      </c>
      <c r="E9" s="79" t="s">
        <v>221</v>
      </c>
    </row>
    <row r="10" spans="1:64">
      <c r="A10" s="83" t="s">
        <v>934</v>
      </c>
      <c r="B10" s="84" t="s">
        <v>742</v>
      </c>
      <c r="C10" s="84"/>
      <c r="D10" s="84"/>
      <c r="E10" s="84" t="s">
        <v>221</v>
      </c>
      <c r="F10" s="84"/>
    </row>
    <row r="11" spans="1:64">
      <c r="A11" s="80" t="s">
        <v>242</v>
      </c>
      <c r="B11" s="82" t="s">
        <v>381</v>
      </c>
      <c r="C11" s="79" t="s">
        <v>769</v>
      </c>
      <c r="D11" s="79" t="s">
        <v>26</v>
      </c>
      <c r="E11" s="85">
        <v>1</v>
      </c>
      <c r="F11" s="86" t="s">
        <v>837</v>
      </c>
      <c r="G11" s="87">
        <v>45241</v>
      </c>
      <c r="H11" s="86" t="s">
        <v>402</v>
      </c>
      <c r="I11" s="87">
        <v>45283</v>
      </c>
      <c r="J11" s="80" t="s">
        <v>340</v>
      </c>
      <c r="K11" s="80" t="s">
        <v>1225</v>
      </c>
      <c r="L11" s="80" t="s">
        <v>1196</v>
      </c>
      <c r="M11" s="80">
        <v>1</v>
      </c>
      <c r="N11" s="82" t="s">
        <v>355</v>
      </c>
      <c r="O11" s="79">
        <v>0</v>
      </c>
      <c r="P11" s="79" t="s">
        <v>1188</v>
      </c>
      <c r="Q11" s="82" t="s">
        <v>1124</v>
      </c>
      <c r="R11" s="80" t="s">
        <v>840</v>
      </c>
      <c r="S11" s="80">
        <v>1</v>
      </c>
      <c r="T11" s="80" t="s">
        <v>325</v>
      </c>
      <c r="U11" s="80">
        <v>1</v>
      </c>
      <c r="V11" s="80" t="s">
        <v>31</v>
      </c>
      <c r="W11" s="80">
        <v>0</v>
      </c>
      <c r="X11" s="80" t="s">
        <v>863</v>
      </c>
      <c r="Y11" s="80">
        <v>1</v>
      </c>
    </row>
    <row r="12" spans="1:64">
      <c r="A12" s="80" t="s">
        <v>405</v>
      </c>
      <c r="B12" s="80" t="s">
        <v>1182</v>
      </c>
      <c r="C12" s="80">
        <v>1</v>
      </c>
      <c r="D12" s="80" t="s">
        <v>868</v>
      </c>
      <c r="E12" s="80">
        <v>1</v>
      </c>
      <c r="F12" s="80" t="s">
        <v>390</v>
      </c>
      <c r="G12" s="80">
        <v>0</v>
      </c>
      <c r="H12" s="80" t="s">
        <v>259</v>
      </c>
      <c r="I12" s="80">
        <v>1</v>
      </c>
      <c r="J12" s="80" t="s">
        <v>428</v>
      </c>
      <c r="K12" s="80">
        <v>0.7</v>
      </c>
      <c r="L12" s="80" t="s">
        <v>1175</v>
      </c>
      <c r="M12" s="80">
        <v>2</v>
      </c>
      <c r="N12" s="80" t="s">
        <v>434</v>
      </c>
      <c r="O12" s="80">
        <v>1</v>
      </c>
      <c r="P12" s="80" t="s">
        <v>34</v>
      </c>
      <c r="Q12" s="80">
        <v>1</v>
      </c>
      <c r="R12" s="80" t="s">
        <v>1191</v>
      </c>
      <c r="S12" s="80">
        <v>7</v>
      </c>
      <c r="T12" s="80" t="s">
        <v>358</v>
      </c>
      <c r="U12" s="80">
        <v>0</v>
      </c>
      <c r="V12" s="80" t="s">
        <v>356</v>
      </c>
      <c r="W12" s="80">
        <v>100</v>
      </c>
      <c r="X12" s="80" t="s">
        <v>844</v>
      </c>
      <c r="Y12" s="80">
        <v>0</v>
      </c>
      <c r="Z12" s="80" t="s">
        <v>452</v>
      </c>
      <c r="AA12" s="80">
        <v>1</v>
      </c>
      <c r="AB12" s="80" t="s">
        <v>250</v>
      </c>
      <c r="AC12" s="80">
        <v>1</v>
      </c>
      <c r="AD12" s="80" t="s">
        <v>251</v>
      </c>
      <c r="AE12" s="80">
        <v>1</v>
      </c>
    </row>
    <row r="13" spans="1:64">
      <c r="A13" s="79" t="s">
        <v>333</v>
      </c>
      <c r="B13" s="82" t="s">
        <v>839</v>
      </c>
      <c r="C13" s="79">
        <v>1</v>
      </c>
      <c r="D13" s="82" t="s">
        <v>375</v>
      </c>
      <c r="E13" s="79" t="s">
        <v>1095</v>
      </c>
      <c r="F13" s="79" t="s">
        <v>386</v>
      </c>
      <c r="G13" s="86" t="s">
        <v>1113</v>
      </c>
      <c r="H13" s="86" t="s">
        <v>338</v>
      </c>
      <c r="I13" s="80" t="s">
        <v>1113</v>
      </c>
    </row>
    <row r="14" spans="1:64">
      <c r="A14" s="79" t="s">
        <v>1197</v>
      </c>
      <c r="B14" s="85" t="s">
        <v>379</v>
      </c>
      <c r="C14" s="85" t="s">
        <v>1094</v>
      </c>
      <c r="D14" s="85" t="s">
        <v>397</v>
      </c>
      <c r="E14" s="85" t="s">
        <v>1135</v>
      </c>
      <c r="F14" s="85" t="s">
        <v>403</v>
      </c>
      <c r="G14" s="85" t="s">
        <v>1126</v>
      </c>
      <c r="H14" s="85" t="s">
        <v>328</v>
      </c>
      <c r="I14" s="85" t="b">
        <v>0</v>
      </c>
      <c r="J14" s="85" t="s">
        <v>393</v>
      </c>
      <c r="K14" s="85" t="s">
        <v>611</v>
      </c>
      <c r="L14" s="85" t="s">
        <v>394</v>
      </c>
      <c r="M14" s="85" t="s">
        <v>1138</v>
      </c>
      <c r="N14" s="85" t="s">
        <v>368</v>
      </c>
      <c r="O14" s="85" t="s">
        <v>1126</v>
      </c>
      <c r="P14" s="85" t="s">
        <v>336</v>
      </c>
      <c r="Q14" s="85" t="b">
        <v>0</v>
      </c>
      <c r="R14" s="85" t="s">
        <v>392</v>
      </c>
      <c r="S14" s="85" t="s">
        <v>616</v>
      </c>
      <c r="T14" s="85" t="s">
        <v>373</v>
      </c>
      <c r="U14" s="85" t="s">
        <v>1136</v>
      </c>
      <c r="V14" s="85" t="s">
        <v>395</v>
      </c>
      <c r="W14" s="85" t="s">
        <v>1126</v>
      </c>
      <c r="X14" s="85" t="s">
        <v>339</v>
      </c>
      <c r="Y14" s="85" t="b">
        <v>1</v>
      </c>
      <c r="Z14" s="85" t="s">
        <v>371</v>
      </c>
      <c r="AA14" s="85" t="s">
        <v>773</v>
      </c>
      <c r="AB14" s="85" t="s">
        <v>399</v>
      </c>
      <c r="AC14" s="85" t="s">
        <v>589</v>
      </c>
      <c r="AD14" s="85" t="s">
        <v>391</v>
      </c>
      <c r="AE14" s="85" t="s">
        <v>458</v>
      </c>
      <c r="AF14" s="85" t="s">
        <v>353</v>
      </c>
      <c r="AG14" s="85" t="b">
        <v>1</v>
      </c>
      <c r="AH14" s="85" t="s">
        <v>374</v>
      </c>
      <c r="AI14" s="85" t="s">
        <v>1111</v>
      </c>
      <c r="AJ14" s="85" t="s">
        <v>385</v>
      </c>
      <c r="AK14" s="85" t="s">
        <v>585</v>
      </c>
      <c r="AL14" s="85" t="s">
        <v>387</v>
      </c>
      <c r="AM14" s="85" t="s">
        <v>283</v>
      </c>
      <c r="AN14" s="85" t="s">
        <v>345</v>
      </c>
      <c r="AO14" s="85" t="b">
        <v>0</v>
      </c>
      <c r="AP14" s="85" t="s">
        <v>377</v>
      </c>
      <c r="AQ14" s="85" t="s">
        <v>587</v>
      </c>
      <c r="AR14" s="85" t="s">
        <v>384</v>
      </c>
      <c r="AS14" s="85" t="s">
        <v>615</v>
      </c>
      <c r="AT14" s="85" t="s">
        <v>382</v>
      </c>
      <c r="AU14" s="85" t="s">
        <v>1209</v>
      </c>
      <c r="AV14" s="85" t="s">
        <v>329</v>
      </c>
      <c r="AW14" s="85" t="b">
        <v>1</v>
      </c>
      <c r="AX14" s="80" t="s">
        <v>398</v>
      </c>
      <c r="AZ14" s="80" t="s">
        <v>404</v>
      </c>
      <c r="BB14" s="80" t="s">
        <v>400</v>
      </c>
      <c r="BD14" s="80" t="s">
        <v>323</v>
      </c>
      <c r="BF14" s="80" t="s">
        <v>376</v>
      </c>
      <c r="BH14" s="80" t="s">
        <v>401</v>
      </c>
      <c r="BJ14" s="80" t="s">
        <v>424</v>
      </c>
      <c r="BL14" s="80" t="s">
        <v>346</v>
      </c>
    </row>
    <row r="15" spans="1:64">
      <c r="A15" s="79" t="s">
        <v>438</v>
      </c>
      <c r="B15" s="80" t="s">
        <v>330</v>
      </c>
      <c r="C15" s="80">
        <v>0</v>
      </c>
      <c r="D15" s="80" t="s">
        <v>1198</v>
      </c>
      <c r="E15" s="80">
        <v>1</v>
      </c>
      <c r="F15" s="80" t="s">
        <v>335</v>
      </c>
      <c r="G15" s="80" t="s">
        <v>464</v>
      </c>
      <c r="H15" s="80" t="s">
        <v>327</v>
      </c>
      <c r="I15" s="80">
        <v>82</v>
      </c>
    </row>
  </sheetData>
  <phoneticPr fontId="40" type="noConversion"/>
  <pageMargins left="0.69972223043441772" right="0.69972223043441772" top="0.75" bottom="0.75" header="0.30000001192092896" footer="0.30000001192092896"/>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zoomScaleSheetLayoutView="75" workbookViewId="0">
      <pane ySplit="1" topLeftCell="A103" activePane="bottomLeft" state="frozen"/>
      <selection pane="bottomLeft" activeCell="D116" sqref="D116"/>
    </sheetView>
  </sheetViews>
  <sheetFormatPr defaultColWidth="73.375" defaultRowHeight="12"/>
  <cols>
    <col min="1" max="1" width="7.625" style="94" bestFit="1" customWidth="1"/>
    <col min="2" max="2" width="8.375" style="105" bestFit="1" customWidth="1"/>
    <col min="3" max="3" width="15.75" style="102" customWidth="1"/>
    <col min="4" max="4" width="60.625" style="95" customWidth="1"/>
    <col min="5" max="5" width="60.625" style="106" customWidth="1"/>
    <col min="6" max="16384" width="73.375" style="94"/>
  </cols>
  <sheetData>
    <row r="1" spans="1:5" s="92" customFormat="1" ht="24.75" customHeight="1">
      <c r="A1" s="92" t="s">
        <v>749</v>
      </c>
      <c r="B1" s="92" t="s">
        <v>763</v>
      </c>
      <c r="C1" s="93" t="s">
        <v>755</v>
      </c>
      <c r="D1" s="93" t="s">
        <v>952</v>
      </c>
      <c r="E1" s="93" t="s">
        <v>955</v>
      </c>
    </row>
    <row r="2" spans="1:5" ht="60">
      <c r="A2" s="94" t="s">
        <v>584</v>
      </c>
      <c r="B2" s="105">
        <v>1</v>
      </c>
      <c r="D2" s="95" t="s">
        <v>124</v>
      </c>
      <c r="E2" s="106" t="s">
        <v>218</v>
      </c>
    </row>
    <row r="3" spans="1:5" ht="112.5" customHeight="1">
      <c r="A3" s="96">
        <v>450</v>
      </c>
      <c r="B3" s="105">
        <v>2</v>
      </c>
      <c r="D3" s="95" t="s">
        <v>82</v>
      </c>
      <c r="E3" s="106" t="s">
        <v>126</v>
      </c>
    </row>
    <row r="4" spans="1:5" ht="48">
      <c r="B4" s="105">
        <v>3</v>
      </c>
      <c r="D4" s="95" t="s">
        <v>483</v>
      </c>
      <c r="E4" s="106" t="s">
        <v>71</v>
      </c>
    </row>
    <row r="5" spans="1:5" ht="48">
      <c r="B5" s="105">
        <v>4</v>
      </c>
      <c r="D5" s="95" t="s">
        <v>58</v>
      </c>
      <c r="E5" s="106" t="s">
        <v>665</v>
      </c>
    </row>
    <row r="6" spans="1:5" ht="96">
      <c r="B6" s="105">
        <v>5</v>
      </c>
      <c r="D6" s="95" t="s">
        <v>474</v>
      </c>
      <c r="E6" s="106" t="s">
        <v>669</v>
      </c>
    </row>
    <row r="7" spans="1:5" ht="36">
      <c r="B7" s="105">
        <v>6</v>
      </c>
      <c r="D7" s="95" t="s">
        <v>658</v>
      </c>
      <c r="E7" s="106" t="s">
        <v>74</v>
      </c>
    </row>
    <row r="8" spans="1:5" ht="24">
      <c r="B8" s="105">
        <v>7</v>
      </c>
      <c r="D8" s="95" t="s">
        <v>656</v>
      </c>
      <c r="E8" s="106" t="s">
        <v>37</v>
      </c>
    </row>
    <row r="9" spans="1:5">
      <c r="B9" s="105">
        <v>101</v>
      </c>
      <c r="D9" s="95" t="s">
        <v>107</v>
      </c>
      <c r="E9" s="106" t="s">
        <v>880</v>
      </c>
    </row>
    <row r="10" spans="1:5">
      <c r="B10" s="105">
        <v>102</v>
      </c>
      <c r="D10" s="95" t="s">
        <v>506</v>
      </c>
      <c r="E10" s="106" t="s">
        <v>188</v>
      </c>
    </row>
    <row r="11" spans="1:5">
      <c r="B11" s="105">
        <v>103</v>
      </c>
      <c r="D11" s="95" t="s">
        <v>493</v>
      </c>
      <c r="E11" s="106" t="s">
        <v>187</v>
      </c>
    </row>
    <row r="12" spans="1:5">
      <c r="B12" s="105">
        <v>104</v>
      </c>
      <c r="D12" s="95" t="s">
        <v>948</v>
      </c>
      <c r="E12" s="106" t="s">
        <v>1212</v>
      </c>
    </row>
    <row r="13" spans="1:5">
      <c r="B13" s="105">
        <v>105</v>
      </c>
      <c r="D13" s="95" t="s">
        <v>688</v>
      </c>
      <c r="E13" s="106" t="s">
        <v>1143</v>
      </c>
    </row>
    <row r="14" spans="1:5">
      <c r="B14" s="105">
        <v>106</v>
      </c>
      <c r="D14" s="95" t="s">
        <v>643</v>
      </c>
      <c r="E14" s="106" t="s">
        <v>317</v>
      </c>
    </row>
    <row r="15" spans="1:5" ht="36">
      <c r="B15" s="105">
        <v>107</v>
      </c>
      <c r="D15" s="95" t="s">
        <v>892</v>
      </c>
      <c r="E15" s="106" t="s">
        <v>891</v>
      </c>
    </row>
    <row r="16" spans="1:5" ht="36">
      <c r="B16" s="105">
        <v>108</v>
      </c>
      <c r="D16" s="95" t="s">
        <v>111</v>
      </c>
      <c r="E16" s="106" t="s">
        <v>72</v>
      </c>
    </row>
    <row r="17" spans="1:6">
      <c r="B17" s="105">
        <v>109</v>
      </c>
      <c r="D17" s="95" t="s">
        <v>222</v>
      </c>
      <c r="E17" s="106" t="s">
        <v>974</v>
      </c>
    </row>
    <row r="18" spans="1:6">
      <c r="B18" s="105">
        <v>110</v>
      </c>
      <c r="D18" s="95" t="s">
        <v>378</v>
      </c>
      <c r="E18" s="106" t="s">
        <v>737</v>
      </c>
    </row>
    <row r="19" spans="1:6">
      <c r="B19" s="105">
        <v>111</v>
      </c>
      <c r="D19" s="95" t="s">
        <v>412</v>
      </c>
      <c r="E19" s="106" t="s">
        <v>1061</v>
      </c>
    </row>
    <row r="20" spans="1:6">
      <c r="A20" s="97"/>
      <c r="B20" s="105">
        <v>112</v>
      </c>
      <c r="C20" s="104" t="s">
        <v>441</v>
      </c>
      <c r="D20" s="96" t="s">
        <v>248</v>
      </c>
      <c r="E20" s="96" t="s">
        <v>536</v>
      </c>
      <c r="F20" s="98"/>
    </row>
    <row r="21" spans="1:6">
      <c r="B21" s="105">
        <v>113</v>
      </c>
      <c r="D21" s="95" t="s">
        <v>219</v>
      </c>
      <c r="E21" s="106" t="s">
        <v>558</v>
      </c>
    </row>
    <row r="22" spans="1:6">
      <c r="B22" s="105">
        <v>114</v>
      </c>
      <c r="D22" s="95" t="s">
        <v>114</v>
      </c>
      <c r="E22" s="106" t="s">
        <v>80</v>
      </c>
    </row>
    <row r="23" spans="1:6">
      <c r="B23" s="105">
        <v>115</v>
      </c>
      <c r="D23" s="95" t="s">
        <v>410</v>
      </c>
      <c r="E23" s="106" t="s">
        <v>666</v>
      </c>
    </row>
    <row r="24" spans="1:6" ht="24">
      <c r="B24" s="105">
        <v>116</v>
      </c>
      <c r="D24" s="95" t="s">
        <v>3</v>
      </c>
      <c r="E24" s="106" t="s">
        <v>59</v>
      </c>
    </row>
    <row r="25" spans="1:6">
      <c r="B25" s="105">
        <v>117</v>
      </c>
      <c r="D25" s="95" t="s">
        <v>682</v>
      </c>
      <c r="E25" s="106" t="s">
        <v>190</v>
      </c>
    </row>
    <row r="26" spans="1:6" ht="24">
      <c r="B26" s="105">
        <v>118</v>
      </c>
      <c r="D26" s="95" t="s">
        <v>63</v>
      </c>
      <c r="E26" s="106" t="s">
        <v>116</v>
      </c>
    </row>
    <row r="27" spans="1:6">
      <c r="B27" s="105">
        <v>119</v>
      </c>
      <c r="D27" s="95" t="s">
        <v>674</v>
      </c>
      <c r="E27" s="106" t="s">
        <v>1144</v>
      </c>
    </row>
    <row r="28" spans="1:6">
      <c r="B28" s="105">
        <v>120</v>
      </c>
      <c r="D28" s="95" t="s">
        <v>657</v>
      </c>
      <c r="E28" s="106" t="s">
        <v>189</v>
      </c>
    </row>
    <row r="29" spans="1:6">
      <c r="B29" s="105">
        <v>121</v>
      </c>
      <c r="D29" s="95" t="s">
        <v>693</v>
      </c>
      <c r="E29" s="106" t="s">
        <v>1145</v>
      </c>
    </row>
    <row r="30" spans="1:6">
      <c r="B30" s="105">
        <v>122</v>
      </c>
      <c r="D30" s="95" t="s">
        <v>310</v>
      </c>
      <c r="E30" s="106" t="s">
        <v>1148</v>
      </c>
    </row>
    <row r="31" spans="1:6">
      <c r="B31" s="105">
        <v>123</v>
      </c>
      <c r="D31" s="95" t="s">
        <v>130</v>
      </c>
      <c r="E31" s="106" t="s">
        <v>881</v>
      </c>
    </row>
    <row r="32" spans="1:6">
      <c r="B32" s="105">
        <v>124</v>
      </c>
      <c r="D32" s="95" t="s">
        <v>133</v>
      </c>
      <c r="E32" s="106" t="s">
        <v>478</v>
      </c>
    </row>
    <row r="33" spans="2:5" ht="24">
      <c r="B33" s="105">
        <v>125</v>
      </c>
      <c r="D33" s="95" t="s">
        <v>55</v>
      </c>
      <c r="E33" s="106" t="s">
        <v>88</v>
      </c>
    </row>
    <row r="34" spans="2:5">
      <c r="B34" s="105">
        <v>126</v>
      </c>
      <c r="D34" s="95" t="s">
        <v>838</v>
      </c>
      <c r="E34" s="106" t="s">
        <v>667</v>
      </c>
    </row>
    <row r="35" spans="2:5">
      <c r="B35" s="105">
        <v>127</v>
      </c>
      <c r="D35" s="95" t="s">
        <v>170</v>
      </c>
      <c r="E35" s="106" t="s">
        <v>1146</v>
      </c>
    </row>
    <row r="36" spans="2:5">
      <c r="B36" s="105">
        <v>128</v>
      </c>
      <c r="D36" s="95" t="s">
        <v>507</v>
      </c>
      <c r="E36" s="106" t="s">
        <v>1147</v>
      </c>
    </row>
    <row r="37" spans="2:5">
      <c r="B37" s="105">
        <v>129</v>
      </c>
      <c r="D37" s="95" t="s">
        <v>859</v>
      </c>
      <c r="E37" s="106" t="s">
        <v>883</v>
      </c>
    </row>
    <row r="38" spans="2:5">
      <c r="B38" s="105">
        <v>130</v>
      </c>
      <c r="D38" s="95" t="s">
        <v>516</v>
      </c>
      <c r="E38" s="106" t="s">
        <v>149</v>
      </c>
    </row>
    <row r="39" spans="2:5">
      <c r="B39" s="105">
        <v>131</v>
      </c>
      <c r="D39" s="95" t="s">
        <v>515</v>
      </c>
      <c r="E39" s="106" t="s">
        <v>1213</v>
      </c>
    </row>
    <row r="40" spans="2:5">
      <c r="B40" s="105">
        <v>132</v>
      </c>
      <c r="D40" s="96" t="s">
        <v>713</v>
      </c>
      <c r="E40" s="99">
        <v>43435</v>
      </c>
    </row>
    <row r="41" spans="2:5">
      <c r="B41" s="105">
        <v>133</v>
      </c>
      <c r="D41" s="96" t="s">
        <v>713</v>
      </c>
      <c r="E41" s="99">
        <v>43435</v>
      </c>
    </row>
    <row r="42" spans="2:5">
      <c r="B42" s="105">
        <v>134</v>
      </c>
      <c r="D42" s="96" t="s">
        <v>808</v>
      </c>
      <c r="E42" s="99">
        <v>43465</v>
      </c>
    </row>
    <row r="43" spans="2:5">
      <c r="B43" s="105">
        <v>135</v>
      </c>
      <c r="D43" s="96" t="s">
        <v>808</v>
      </c>
      <c r="E43" s="99">
        <v>43465</v>
      </c>
    </row>
    <row r="44" spans="2:5">
      <c r="B44" s="105">
        <v>136</v>
      </c>
      <c r="D44" s="95" t="s">
        <v>920</v>
      </c>
      <c r="E44" s="106" t="s">
        <v>920</v>
      </c>
    </row>
    <row r="45" spans="2:5">
      <c r="B45" s="105">
        <v>137</v>
      </c>
      <c r="D45" s="95" t="s">
        <v>858</v>
      </c>
      <c r="E45" s="106" t="s">
        <v>744</v>
      </c>
    </row>
    <row r="46" spans="2:5">
      <c r="B46" s="105">
        <v>138</v>
      </c>
      <c r="C46" s="102" t="s">
        <v>265</v>
      </c>
      <c r="D46" s="95" t="s">
        <v>990</v>
      </c>
      <c r="E46" s="130" t="s">
        <v>521</v>
      </c>
    </row>
    <row r="47" spans="2:5">
      <c r="B47" s="105">
        <v>139</v>
      </c>
      <c r="D47" s="95" t="s">
        <v>176</v>
      </c>
      <c r="E47" s="106" t="s">
        <v>620</v>
      </c>
    </row>
    <row r="48" spans="2:5">
      <c r="B48" s="105">
        <v>140</v>
      </c>
      <c r="D48" s="95" t="s">
        <v>642</v>
      </c>
      <c r="E48" s="106" t="s">
        <v>697</v>
      </c>
    </row>
    <row r="49" spans="1:6">
      <c r="B49" s="105">
        <v>141</v>
      </c>
      <c r="D49" s="95" t="s">
        <v>267</v>
      </c>
      <c r="E49" s="106" t="s">
        <v>1009</v>
      </c>
    </row>
    <row r="50" spans="1:6">
      <c r="B50" s="105">
        <v>142</v>
      </c>
      <c r="D50" s="95" t="s">
        <v>406</v>
      </c>
      <c r="E50" s="106" t="s">
        <v>1020</v>
      </c>
    </row>
    <row r="51" spans="1:6">
      <c r="B51" s="105">
        <v>143</v>
      </c>
      <c r="D51" s="95" t="s">
        <v>648</v>
      </c>
      <c r="E51" s="106" t="s">
        <v>157</v>
      </c>
    </row>
    <row r="52" spans="1:6">
      <c r="B52" s="105">
        <v>144</v>
      </c>
      <c r="D52" s="95" t="s">
        <v>1186</v>
      </c>
      <c r="E52" s="106" t="s">
        <v>814</v>
      </c>
    </row>
    <row r="53" spans="1:6" ht="24">
      <c r="B53" s="105">
        <v>145</v>
      </c>
      <c r="D53" s="95" t="s">
        <v>1162</v>
      </c>
      <c r="E53" s="106" t="s">
        <v>629</v>
      </c>
    </row>
    <row r="54" spans="1:6">
      <c r="B54" s="105">
        <v>146</v>
      </c>
      <c r="D54" s="95" t="s">
        <v>108</v>
      </c>
      <c r="E54" s="106" t="s">
        <v>512</v>
      </c>
    </row>
    <row r="55" spans="1:6">
      <c r="B55" s="105">
        <v>147</v>
      </c>
      <c r="D55" s="95" t="s">
        <v>246</v>
      </c>
      <c r="E55" s="106" t="s">
        <v>1021</v>
      </c>
    </row>
    <row r="56" spans="1:6">
      <c r="B56" s="105">
        <v>148</v>
      </c>
      <c r="D56" s="95" t="s">
        <v>411</v>
      </c>
      <c r="E56" s="106" t="s">
        <v>1014</v>
      </c>
    </row>
    <row r="57" spans="1:6">
      <c r="B57" s="105">
        <v>149</v>
      </c>
      <c r="D57" s="95" t="s">
        <v>647</v>
      </c>
      <c r="E57" s="106" t="s">
        <v>501</v>
      </c>
    </row>
    <row r="58" spans="1:6">
      <c r="B58" s="105">
        <v>150</v>
      </c>
      <c r="D58" s="95" t="s">
        <v>1181</v>
      </c>
      <c r="E58" s="106" t="s">
        <v>816</v>
      </c>
    </row>
    <row r="59" spans="1:6" ht="24">
      <c r="B59" s="105">
        <v>151</v>
      </c>
      <c r="D59" s="95" t="s">
        <v>646</v>
      </c>
      <c r="E59" s="106" t="s">
        <v>84</v>
      </c>
    </row>
    <row r="60" spans="1:6">
      <c r="B60" s="105">
        <v>152</v>
      </c>
      <c r="D60" s="95" t="s">
        <v>363</v>
      </c>
      <c r="E60" s="106" t="s">
        <v>465</v>
      </c>
    </row>
    <row r="61" spans="1:6">
      <c r="A61" s="97"/>
      <c r="B61" s="105">
        <v>153</v>
      </c>
      <c r="C61" s="104" t="s">
        <v>441</v>
      </c>
      <c r="D61" s="96" t="s">
        <v>862</v>
      </c>
      <c r="E61" s="96" t="s">
        <v>308</v>
      </c>
      <c r="F61" s="98"/>
    </row>
    <row r="62" spans="1:6" ht="12.75">
      <c r="B62" s="105">
        <v>154</v>
      </c>
      <c r="D62" s="95" t="s">
        <v>860</v>
      </c>
      <c r="E62" s="131" t="s">
        <v>150</v>
      </c>
    </row>
    <row r="63" spans="1:6" ht="25.5">
      <c r="B63" s="105">
        <v>155</v>
      </c>
      <c r="D63" s="95" t="s">
        <v>23</v>
      </c>
      <c r="E63" s="131" t="s">
        <v>184</v>
      </c>
    </row>
    <row r="64" spans="1:6">
      <c r="A64" s="97"/>
      <c r="B64" s="105">
        <v>156</v>
      </c>
      <c r="C64" s="104" t="s">
        <v>441</v>
      </c>
      <c r="D64" s="96" t="s">
        <v>254</v>
      </c>
      <c r="E64" s="96" t="s">
        <v>1101</v>
      </c>
      <c r="F64" s="98"/>
    </row>
    <row r="65" spans="1:6">
      <c r="A65" s="97"/>
      <c r="B65" s="105">
        <v>157</v>
      </c>
      <c r="C65" s="104" t="s">
        <v>441</v>
      </c>
      <c r="D65" s="96" t="s">
        <v>253</v>
      </c>
      <c r="E65" s="96" t="s">
        <v>1107</v>
      </c>
      <c r="F65" s="98"/>
    </row>
    <row r="66" spans="1:6">
      <c r="A66" s="97"/>
      <c r="B66" s="105">
        <v>158</v>
      </c>
      <c r="C66" s="104" t="s">
        <v>441</v>
      </c>
      <c r="D66" s="96" t="s">
        <v>864</v>
      </c>
      <c r="E66" s="96" t="s">
        <v>1110</v>
      </c>
      <c r="F66" s="98"/>
    </row>
    <row r="67" spans="1:6">
      <c r="A67" s="97"/>
      <c r="B67" s="105">
        <v>159</v>
      </c>
      <c r="C67" s="104" t="s">
        <v>441</v>
      </c>
      <c r="D67" s="96" t="s">
        <v>455</v>
      </c>
      <c r="E67" s="96" t="s">
        <v>758</v>
      </c>
      <c r="F67" s="98"/>
    </row>
    <row r="68" spans="1:6">
      <c r="B68" s="105">
        <v>160</v>
      </c>
      <c r="D68" s="95" t="s">
        <v>277</v>
      </c>
      <c r="E68" s="106" t="s">
        <v>1142</v>
      </c>
    </row>
    <row r="69" spans="1:6">
      <c r="B69" s="105">
        <v>161</v>
      </c>
      <c r="D69" s="95" t="s">
        <v>224</v>
      </c>
      <c r="E69" s="106" t="s">
        <v>1108</v>
      </c>
    </row>
    <row r="70" spans="1:6" ht="24">
      <c r="B70" s="105">
        <v>162</v>
      </c>
      <c r="D70" s="95" t="s">
        <v>870</v>
      </c>
      <c r="E70" s="106" t="s">
        <v>298</v>
      </c>
    </row>
    <row r="71" spans="1:6">
      <c r="B71" s="105">
        <v>163</v>
      </c>
      <c r="D71" s="95" t="s">
        <v>834</v>
      </c>
      <c r="E71" s="106" t="s">
        <v>1127</v>
      </c>
    </row>
    <row r="72" spans="1:6">
      <c r="B72" s="105">
        <v>164</v>
      </c>
      <c r="D72" s="95" t="s">
        <v>439</v>
      </c>
      <c r="E72" s="106" t="s">
        <v>748</v>
      </c>
    </row>
    <row r="73" spans="1:6">
      <c r="B73" s="105">
        <v>165</v>
      </c>
      <c r="D73" s="95" t="s">
        <v>326</v>
      </c>
      <c r="E73" s="106" t="s">
        <v>746</v>
      </c>
    </row>
    <row r="74" spans="1:6">
      <c r="B74" s="105">
        <v>166</v>
      </c>
      <c r="D74" s="95" t="s">
        <v>675</v>
      </c>
      <c r="E74" s="106" t="s">
        <v>30</v>
      </c>
    </row>
    <row r="75" spans="1:6" ht="24">
      <c r="B75" s="105">
        <v>167</v>
      </c>
      <c r="D75" s="95" t="s">
        <v>123</v>
      </c>
      <c r="E75" s="106" t="s">
        <v>699</v>
      </c>
    </row>
    <row r="76" spans="1:6">
      <c r="B76" s="105">
        <v>168</v>
      </c>
      <c r="D76" s="95" t="s">
        <v>914</v>
      </c>
      <c r="E76" s="106" t="s">
        <v>1023</v>
      </c>
    </row>
    <row r="77" spans="1:6">
      <c r="B77" s="105">
        <v>169</v>
      </c>
      <c r="D77" s="95" t="s">
        <v>244</v>
      </c>
      <c r="E77" s="106" t="s">
        <v>1084</v>
      </c>
    </row>
    <row r="78" spans="1:6">
      <c r="B78" s="105">
        <v>170</v>
      </c>
      <c r="D78" s="95" t="s">
        <v>318</v>
      </c>
      <c r="E78" s="106" t="s">
        <v>1215</v>
      </c>
    </row>
    <row r="79" spans="1:6">
      <c r="B79" s="105">
        <v>171</v>
      </c>
      <c r="D79" s="95" t="s">
        <v>861</v>
      </c>
      <c r="E79" s="106" t="s">
        <v>1214</v>
      </c>
    </row>
    <row r="80" spans="1:6">
      <c r="B80" s="105">
        <v>172</v>
      </c>
      <c r="D80" s="95" t="s">
        <v>94</v>
      </c>
      <c r="E80" s="106" t="s">
        <v>445</v>
      </c>
    </row>
    <row r="81" spans="2:5">
      <c r="B81" s="105">
        <v>173</v>
      </c>
      <c r="D81" s="95" t="s">
        <v>517</v>
      </c>
      <c r="E81" s="106" t="s">
        <v>307</v>
      </c>
    </row>
    <row r="82" spans="2:5">
      <c r="B82" s="105">
        <v>174</v>
      </c>
      <c r="D82" s="95" t="s">
        <v>180</v>
      </c>
      <c r="E82" s="106" t="s">
        <v>689</v>
      </c>
    </row>
    <row r="83" spans="2:5">
      <c r="B83" s="105">
        <v>175</v>
      </c>
      <c r="D83" s="95" t="s">
        <v>128</v>
      </c>
      <c r="E83" s="106" t="s">
        <v>167</v>
      </c>
    </row>
    <row r="84" spans="2:5">
      <c r="B84" s="105">
        <v>176</v>
      </c>
      <c r="D84" s="95" t="s">
        <v>119</v>
      </c>
      <c r="E84" s="106" t="s">
        <v>17</v>
      </c>
    </row>
    <row r="85" spans="2:5">
      <c r="B85" s="105">
        <v>177</v>
      </c>
      <c r="D85" s="95" t="s">
        <v>738</v>
      </c>
      <c r="E85" s="106" t="s">
        <v>554</v>
      </c>
    </row>
    <row r="86" spans="2:5">
      <c r="B86" s="105">
        <v>178</v>
      </c>
      <c r="D86" s="95" t="s">
        <v>854</v>
      </c>
      <c r="E86" s="106" t="s">
        <v>1013</v>
      </c>
    </row>
    <row r="87" spans="2:5">
      <c r="B87" s="105">
        <v>179</v>
      </c>
      <c r="D87" s="95" t="s">
        <v>442</v>
      </c>
      <c r="E87" s="106" t="s">
        <v>723</v>
      </c>
    </row>
    <row r="88" spans="2:5">
      <c r="B88" s="105">
        <v>180</v>
      </c>
      <c r="D88" s="95" t="s">
        <v>1189</v>
      </c>
      <c r="E88" s="106" t="s">
        <v>1149</v>
      </c>
    </row>
    <row r="89" spans="2:5" ht="24">
      <c r="B89" s="105">
        <v>181</v>
      </c>
      <c r="D89" s="95" t="s">
        <v>472</v>
      </c>
      <c r="E89" s="106" t="s">
        <v>628</v>
      </c>
    </row>
    <row r="90" spans="2:5" ht="24">
      <c r="B90" s="105">
        <v>182</v>
      </c>
      <c r="D90" s="95" t="s">
        <v>470</v>
      </c>
      <c r="E90" s="106" t="s">
        <v>621</v>
      </c>
    </row>
    <row r="91" spans="2:5">
      <c r="B91" s="105">
        <v>183</v>
      </c>
      <c r="D91" s="95" t="s">
        <v>977</v>
      </c>
      <c r="E91" s="106" t="s">
        <v>524</v>
      </c>
    </row>
    <row r="92" spans="2:5">
      <c r="B92" s="105">
        <v>184</v>
      </c>
      <c r="D92" s="95" t="s">
        <v>427</v>
      </c>
      <c r="E92" s="106" t="s">
        <v>551</v>
      </c>
    </row>
    <row r="93" spans="2:5">
      <c r="B93" s="105">
        <v>185</v>
      </c>
      <c r="D93" s="95" t="s">
        <v>715</v>
      </c>
      <c r="E93" s="106" t="s">
        <v>581</v>
      </c>
    </row>
    <row r="94" spans="2:5">
      <c r="B94" s="105">
        <v>186</v>
      </c>
      <c r="D94" s="95" t="s">
        <v>714</v>
      </c>
      <c r="E94" s="106" t="s">
        <v>595</v>
      </c>
    </row>
    <row r="95" spans="2:5">
      <c r="B95" s="105">
        <v>187</v>
      </c>
      <c r="D95" s="95" t="s">
        <v>171</v>
      </c>
      <c r="E95" s="106" t="s">
        <v>304</v>
      </c>
    </row>
    <row r="96" spans="2:5" ht="24">
      <c r="B96" s="105">
        <v>188</v>
      </c>
      <c r="D96" s="95" t="s">
        <v>47</v>
      </c>
      <c r="E96" s="106" t="s">
        <v>492</v>
      </c>
    </row>
    <row r="97" spans="2:5" ht="24">
      <c r="B97" s="105">
        <v>189</v>
      </c>
      <c r="D97" s="95" t="s">
        <v>638</v>
      </c>
      <c r="E97" s="106" t="s">
        <v>497</v>
      </c>
    </row>
    <row r="98" spans="2:5">
      <c r="B98" s="105">
        <v>190</v>
      </c>
      <c r="D98" s="95" t="s">
        <v>518</v>
      </c>
      <c r="E98" s="106" t="s">
        <v>518</v>
      </c>
    </row>
    <row r="99" spans="2:5">
      <c r="B99" s="105">
        <v>191</v>
      </c>
      <c r="D99" s="95" t="s">
        <v>907</v>
      </c>
      <c r="E99" s="106" t="s">
        <v>537</v>
      </c>
    </row>
    <row r="100" spans="2:5">
      <c r="B100" s="105">
        <v>192</v>
      </c>
      <c r="D100" s="95" t="s">
        <v>929</v>
      </c>
      <c r="E100" s="106" t="s">
        <v>565</v>
      </c>
    </row>
    <row r="101" spans="2:5">
      <c r="B101" s="105">
        <v>193</v>
      </c>
      <c r="D101" s="95" t="s">
        <v>370</v>
      </c>
      <c r="E101" s="106" t="s">
        <v>1031</v>
      </c>
    </row>
    <row r="102" spans="2:5">
      <c r="B102" s="105">
        <v>194</v>
      </c>
      <c r="D102" s="95" t="s">
        <v>1195</v>
      </c>
      <c r="E102" s="106" t="s">
        <v>451</v>
      </c>
    </row>
    <row r="103" spans="2:5">
      <c r="B103" s="105">
        <v>195</v>
      </c>
      <c r="D103" s="95" t="s">
        <v>624</v>
      </c>
      <c r="E103" s="106" t="s">
        <v>429</v>
      </c>
    </row>
    <row r="104" spans="2:5">
      <c r="B104" s="105">
        <v>196</v>
      </c>
      <c r="D104" s="95" t="s">
        <v>1190</v>
      </c>
      <c r="E104" s="106" t="s">
        <v>306</v>
      </c>
    </row>
    <row r="105" spans="2:5">
      <c r="B105" s="105">
        <v>197</v>
      </c>
      <c r="D105" s="95" t="s">
        <v>21</v>
      </c>
      <c r="E105" s="106" t="s">
        <v>884</v>
      </c>
    </row>
    <row r="106" spans="2:5">
      <c r="B106" s="105">
        <v>198</v>
      </c>
      <c r="D106" s="95" t="s">
        <v>12</v>
      </c>
      <c r="E106" s="106" t="s">
        <v>185</v>
      </c>
    </row>
    <row r="107" spans="2:5">
      <c r="B107" s="105">
        <v>199</v>
      </c>
      <c r="D107" s="95" t="s">
        <v>380</v>
      </c>
      <c r="E107" s="106" t="s">
        <v>722</v>
      </c>
    </row>
    <row r="108" spans="2:5">
      <c r="B108" s="105">
        <v>200</v>
      </c>
      <c r="D108" s="95" t="s">
        <v>349</v>
      </c>
      <c r="E108" s="106" t="s">
        <v>302</v>
      </c>
    </row>
    <row r="109" spans="2:5">
      <c r="B109" s="105">
        <v>201</v>
      </c>
      <c r="D109" s="95" t="s">
        <v>237</v>
      </c>
      <c r="E109" s="106" t="s">
        <v>396</v>
      </c>
    </row>
    <row r="110" spans="2:5">
      <c r="B110" s="105">
        <v>202</v>
      </c>
      <c r="D110" s="95" t="s">
        <v>1187</v>
      </c>
      <c r="E110" s="106" t="s">
        <v>295</v>
      </c>
    </row>
    <row r="111" spans="2:5">
      <c r="B111" s="105">
        <v>203</v>
      </c>
      <c r="D111" s="95" t="s">
        <v>976</v>
      </c>
      <c r="E111" s="106" t="s">
        <v>571</v>
      </c>
    </row>
    <row r="112" spans="2:5">
      <c r="B112" s="105">
        <v>204</v>
      </c>
      <c r="D112" s="95" t="s">
        <v>466</v>
      </c>
      <c r="E112" s="106" t="s">
        <v>538</v>
      </c>
    </row>
    <row r="113" spans="2:5">
      <c r="B113" s="105">
        <v>205</v>
      </c>
      <c r="D113" s="95" t="s">
        <v>811</v>
      </c>
      <c r="E113" s="106" t="s">
        <v>523</v>
      </c>
    </row>
    <row r="114" spans="2:5">
      <c r="B114" s="105">
        <v>206</v>
      </c>
      <c r="D114" s="95" t="s">
        <v>233</v>
      </c>
      <c r="E114" s="106" t="s">
        <v>726</v>
      </c>
    </row>
    <row r="115" spans="2:5">
      <c r="B115" s="105">
        <v>207</v>
      </c>
      <c r="D115" s="95" t="s">
        <v>1011</v>
      </c>
      <c r="E115" s="106" t="s">
        <v>530</v>
      </c>
    </row>
    <row r="116" spans="2:5">
      <c r="B116" s="105">
        <v>208</v>
      </c>
      <c r="D116" s="95" t="s">
        <v>712</v>
      </c>
      <c r="E116" s="106" t="s">
        <v>1010</v>
      </c>
    </row>
    <row r="117" spans="2:5">
      <c r="B117" s="105">
        <v>209</v>
      </c>
      <c r="D117" s="95" t="s">
        <v>161</v>
      </c>
      <c r="E117" s="106" t="s">
        <v>294</v>
      </c>
    </row>
    <row r="118" spans="2:5">
      <c r="B118" s="105">
        <v>210</v>
      </c>
      <c r="D118" s="95" t="s">
        <v>1160</v>
      </c>
      <c r="E118" s="106" t="s">
        <v>724</v>
      </c>
    </row>
    <row r="119" spans="2:5">
      <c r="B119" s="105">
        <v>211</v>
      </c>
      <c r="D119" s="95" t="s">
        <v>223</v>
      </c>
      <c r="E119" s="106" t="s">
        <v>548</v>
      </c>
    </row>
    <row r="120" spans="2:5">
      <c r="B120" s="105">
        <v>212</v>
      </c>
      <c r="D120" s="95" t="s">
        <v>418</v>
      </c>
      <c r="E120" s="106" t="s">
        <v>717</v>
      </c>
    </row>
    <row r="121" spans="2:5">
      <c r="B121" s="105">
        <v>213</v>
      </c>
      <c r="D121" s="95" t="s">
        <v>41</v>
      </c>
      <c r="E121" s="106" t="s">
        <v>450</v>
      </c>
    </row>
    <row r="122" spans="2:5">
      <c r="B122" s="105">
        <v>214</v>
      </c>
      <c r="D122" s="95" t="s">
        <v>342</v>
      </c>
      <c r="E122" s="106" t="s">
        <v>720</v>
      </c>
    </row>
    <row r="123" spans="2:5">
      <c r="B123" s="105">
        <v>215</v>
      </c>
      <c r="D123" s="95" t="s">
        <v>231</v>
      </c>
      <c r="E123" s="106" t="s">
        <v>1088</v>
      </c>
    </row>
    <row r="124" spans="2:5">
      <c r="B124" s="105">
        <v>216</v>
      </c>
      <c r="D124" s="95" t="s">
        <v>623</v>
      </c>
      <c r="E124" s="106" t="s">
        <v>457</v>
      </c>
    </row>
    <row r="125" spans="2:5">
      <c r="B125" s="105">
        <v>217</v>
      </c>
      <c r="D125" s="95" t="s">
        <v>632</v>
      </c>
      <c r="E125" s="106" t="s">
        <v>291</v>
      </c>
    </row>
    <row r="126" spans="2:5">
      <c r="B126" s="105">
        <v>218</v>
      </c>
      <c r="D126" s="95" t="s">
        <v>1193</v>
      </c>
      <c r="E126" s="106" t="s">
        <v>719</v>
      </c>
    </row>
    <row r="127" spans="2:5">
      <c r="B127" s="105">
        <v>219</v>
      </c>
      <c r="D127" s="95" t="s">
        <v>435</v>
      </c>
      <c r="E127" s="106" t="s">
        <v>1092</v>
      </c>
    </row>
    <row r="128" spans="2:5">
      <c r="B128" s="105">
        <v>220</v>
      </c>
      <c r="D128" s="95" t="s">
        <v>443</v>
      </c>
      <c r="E128" s="106" t="s">
        <v>1082</v>
      </c>
    </row>
    <row r="129" spans="2:5">
      <c r="B129" s="105">
        <v>221</v>
      </c>
      <c r="D129" s="95" t="s">
        <v>504</v>
      </c>
      <c r="E129" s="106" t="s">
        <v>305</v>
      </c>
    </row>
    <row r="130" spans="2:5">
      <c r="B130" s="105">
        <v>222</v>
      </c>
      <c r="D130" s="95" t="s">
        <v>110</v>
      </c>
      <c r="E130" s="106" t="s">
        <v>106</v>
      </c>
    </row>
    <row r="131" spans="2:5">
      <c r="B131" s="105">
        <v>223</v>
      </c>
      <c r="D131" s="95" t="s">
        <v>652</v>
      </c>
      <c r="E131" s="106" t="s">
        <v>1150</v>
      </c>
    </row>
    <row r="132" spans="2:5">
      <c r="B132" s="105">
        <v>224</v>
      </c>
      <c r="D132" s="95" t="s">
        <v>347</v>
      </c>
      <c r="E132" s="106" t="s">
        <v>296</v>
      </c>
    </row>
    <row r="133" spans="2:5">
      <c r="B133" s="105">
        <v>225</v>
      </c>
      <c r="D133" s="95" t="s">
        <v>437</v>
      </c>
      <c r="E133" s="106" t="s">
        <v>885</v>
      </c>
    </row>
    <row r="134" spans="2:5">
      <c r="B134" s="105">
        <v>226</v>
      </c>
      <c r="D134" s="95" t="s">
        <v>867</v>
      </c>
      <c r="E134" s="106" t="s">
        <v>730</v>
      </c>
    </row>
    <row r="135" spans="2:5">
      <c r="B135" s="105">
        <v>227</v>
      </c>
      <c r="D135" s="95" t="s">
        <v>721</v>
      </c>
      <c r="E135" s="106" t="s">
        <v>1081</v>
      </c>
    </row>
    <row r="136" spans="2:5">
      <c r="B136" s="105">
        <v>228</v>
      </c>
      <c r="D136" s="95" t="s">
        <v>800</v>
      </c>
      <c r="E136" s="106" t="s">
        <v>1080</v>
      </c>
    </row>
    <row r="137" spans="2:5">
      <c r="B137" s="105">
        <v>229</v>
      </c>
      <c r="D137" s="95" t="s">
        <v>407</v>
      </c>
      <c r="E137" s="106" t="s">
        <v>725</v>
      </c>
    </row>
    <row r="138" spans="2:5">
      <c r="B138" s="105">
        <v>230</v>
      </c>
      <c r="D138" s="95" t="s">
        <v>997</v>
      </c>
      <c r="E138" s="106" t="s">
        <v>557</v>
      </c>
    </row>
    <row r="139" spans="2:5">
      <c r="B139" s="105">
        <v>231</v>
      </c>
      <c r="D139" s="95" t="s">
        <v>62</v>
      </c>
      <c r="E139" s="106" t="s">
        <v>625</v>
      </c>
    </row>
    <row r="140" spans="2:5" ht="36">
      <c r="B140" s="105">
        <v>232</v>
      </c>
      <c r="D140" s="95" t="s">
        <v>81</v>
      </c>
      <c r="E140" s="106" t="s">
        <v>73</v>
      </c>
    </row>
    <row r="141" spans="2:5">
      <c r="B141" s="105">
        <v>233</v>
      </c>
      <c r="D141" s="95" t="s">
        <v>1183</v>
      </c>
      <c r="E141" s="106" t="s">
        <v>828</v>
      </c>
    </row>
    <row r="142" spans="2:5">
      <c r="B142" s="105">
        <v>234</v>
      </c>
      <c r="D142" s="95" t="s">
        <v>522</v>
      </c>
      <c r="E142" s="106" t="s">
        <v>599</v>
      </c>
    </row>
    <row r="143" spans="2:5">
      <c r="B143" s="105">
        <v>235</v>
      </c>
      <c r="D143" s="95" t="s">
        <v>964</v>
      </c>
      <c r="E143" s="106" t="s">
        <v>546</v>
      </c>
    </row>
    <row r="144" spans="2:5">
      <c r="B144" s="105">
        <v>236</v>
      </c>
      <c r="D144" s="95" t="s">
        <v>365</v>
      </c>
      <c r="E144" s="106" t="s">
        <v>727</v>
      </c>
    </row>
    <row r="145" spans="2:5">
      <c r="B145" s="105">
        <v>237</v>
      </c>
      <c r="D145" s="95" t="s">
        <v>801</v>
      </c>
      <c r="E145" s="106" t="s">
        <v>993</v>
      </c>
    </row>
    <row r="146" spans="2:5">
      <c r="B146" s="105">
        <v>238</v>
      </c>
      <c r="D146" s="95" t="s">
        <v>983</v>
      </c>
      <c r="E146" s="106" t="s">
        <v>1085</v>
      </c>
    </row>
    <row r="147" spans="2:5">
      <c r="B147" s="105">
        <v>239</v>
      </c>
      <c r="D147" s="95" t="s">
        <v>796</v>
      </c>
      <c r="E147" s="106" t="s">
        <v>1066</v>
      </c>
    </row>
    <row r="148" spans="2:5">
      <c r="B148" s="105">
        <v>240</v>
      </c>
      <c r="D148" s="95" t="s">
        <v>971</v>
      </c>
      <c r="E148" s="106" t="s">
        <v>555</v>
      </c>
    </row>
    <row r="149" spans="2:5">
      <c r="B149" s="105">
        <v>241</v>
      </c>
      <c r="D149" s="95" t="s">
        <v>790</v>
      </c>
      <c r="E149" s="106" t="s">
        <v>1026</v>
      </c>
    </row>
    <row r="150" spans="2:5">
      <c r="B150" s="105">
        <v>242</v>
      </c>
      <c r="D150" s="95" t="s">
        <v>631</v>
      </c>
      <c r="E150" s="106" t="s">
        <v>96</v>
      </c>
    </row>
    <row r="151" spans="2:5">
      <c r="B151" s="105">
        <v>243</v>
      </c>
      <c r="D151" s="95" t="s">
        <v>847</v>
      </c>
      <c r="E151" s="106" t="s">
        <v>826</v>
      </c>
    </row>
    <row r="152" spans="2:5">
      <c r="B152" s="105">
        <v>244</v>
      </c>
      <c r="D152" s="95" t="s">
        <v>683</v>
      </c>
      <c r="E152" s="106" t="s">
        <v>702</v>
      </c>
    </row>
    <row r="153" spans="2:5">
      <c r="B153" s="105">
        <v>245</v>
      </c>
      <c r="D153" s="95" t="s">
        <v>447</v>
      </c>
      <c r="E153" s="106" t="s">
        <v>731</v>
      </c>
    </row>
    <row r="154" spans="2:5">
      <c r="B154" s="105">
        <v>246</v>
      </c>
      <c r="D154" s="95" t="s">
        <v>690</v>
      </c>
      <c r="E154" s="106" t="s">
        <v>454</v>
      </c>
    </row>
    <row r="155" spans="2:5">
      <c r="B155" s="105">
        <v>247</v>
      </c>
      <c r="D155" s="95" t="s">
        <v>541</v>
      </c>
      <c r="E155" s="106" t="s">
        <v>543</v>
      </c>
    </row>
    <row r="156" spans="2:5">
      <c r="B156" s="105">
        <v>248</v>
      </c>
      <c r="D156" s="95" t="s">
        <v>853</v>
      </c>
      <c r="E156" s="106" t="s">
        <v>882</v>
      </c>
    </row>
    <row r="157" spans="2:5">
      <c r="B157" s="105">
        <v>249</v>
      </c>
      <c r="D157" s="95" t="s">
        <v>856</v>
      </c>
      <c r="E157" s="106" t="s">
        <v>430</v>
      </c>
    </row>
    <row r="158" spans="2:5">
      <c r="B158" s="105">
        <v>250</v>
      </c>
      <c r="D158" s="95" t="s">
        <v>389</v>
      </c>
      <c r="E158" s="106" t="s">
        <v>886</v>
      </c>
    </row>
    <row r="159" spans="2:5">
      <c r="B159" s="105">
        <v>251</v>
      </c>
      <c r="D159" s="95" t="s">
        <v>849</v>
      </c>
      <c r="E159" s="106" t="s">
        <v>888</v>
      </c>
    </row>
    <row r="160" spans="2:5">
      <c r="B160" s="105">
        <v>252</v>
      </c>
      <c r="D160" s="95" t="s">
        <v>851</v>
      </c>
      <c r="E160" s="106" t="s">
        <v>1153</v>
      </c>
    </row>
    <row r="161" spans="2:5">
      <c r="B161" s="105">
        <v>253</v>
      </c>
      <c r="D161" s="95" t="s">
        <v>958</v>
      </c>
      <c r="E161" s="106" t="s">
        <v>561</v>
      </c>
    </row>
    <row r="162" spans="2:5" ht="24">
      <c r="B162" s="105">
        <v>254</v>
      </c>
      <c r="D162" s="95" t="s">
        <v>637</v>
      </c>
      <c r="E162" s="106" t="s">
        <v>644</v>
      </c>
    </row>
    <row r="163" spans="2:5" ht="24">
      <c r="B163" s="105">
        <v>255</v>
      </c>
      <c r="D163" s="95" t="s">
        <v>636</v>
      </c>
      <c r="E163" s="106" t="s">
        <v>153</v>
      </c>
    </row>
    <row r="164" spans="2:5" ht="24">
      <c r="B164" s="105">
        <v>256</v>
      </c>
      <c r="D164" s="95" t="s">
        <v>668</v>
      </c>
      <c r="E164" s="106" t="s">
        <v>1166</v>
      </c>
    </row>
    <row r="165" spans="2:5">
      <c r="B165" s="105">
        <v>257</v>
      </c>
      <c r="D165" s="95" t="s">
        <v>961</v>
      </c>
      <c r="E165" s="106" t="s">
        <v>1030</v>
      </c>
    </row>
    <row r="166" spans="2:5">
      <c r="B166" s="105">
        <v>258</v>
      </c>
      <c r="D166" s="95" t="s">
        <v>324</v>
      </c>
      <c r="E166" s="106" t="s">
        <v>728</v>
      </c>
    </row>
    <row r="167" spans="2:5">
      <c r="B167" s="105">
        <v>259</v>
      </c>
      <c r="D167" s="95" t="s">
        <v>172</v>
      </c>
      <c r="E167" s="106" t="s">
        <v>300</v>
      </c>
    </row>
    <row r="168" spans="2:5">
      <c r="B168" s="105">
        <v>260</v>
      </c>
      <c r="D168" s="95" t="s">
        <v>173</v>
      </c>
      <c r="E168" s="106" t="s">
        <v>286</v>
      </c>
    </row>
    <row r="169" spans="2:5">
      <c r="B169" s="105">
        <v>261</v>
      </c>
      <c r="D169" s="95" t="s">
        <v>1180</v>
      </c>
      <c r="E169" s="106" t="s">
        <v>1156</v>
      </c>
    </row>
    <row r="170" spans="2:5" ht="36">
      <c r="B170" s="105">
        <v>262</v>
      </c>
      <c r="D170" s="95" t="s">
        <v>118</v>
      </c>
      <c r="E170" s="106" t="s">
        <v>691</v>
      </c>
    </row>
    <row r="171" spans="2:5">
      <c r="B171" s="105">
        <v>263</v>
      </c>
      <c r="D171" s="95" t="s">
        <v>314</v>
      </c>
      <c r="E171" s="106" t="s">
        <v>622</v>
      </c>
    </row>
    <row r="172" spans="2:5">
      <c r="B172" s="105">
        <v>264</v>
      </c>
      <c r="D172" s="95" t="s">
        <v>234</v>
      </c>
      <c r="E172" s="106" t="s">
        <v>1091</v>
      </c>
    </row>
    <row r="173" spans="2:5">
      <c r="B173" s="105">
        <v>265</v>
      </c>
      <c r="D173" s="95" t="s">
        <v>154</v>
      </c>
      <c r="E173" s="106" t="s">
        <v>98</v>
      </c>
    </row>
    <row r="174" spans="2:5">
      <c r="B174" s="105">
        <v>266</v>
      </c>
      <c r="D174" s="95" t="s">
        <v>99</v>
      </c>
      <c r="E174" s="106" t="s">
        <v>293</v>
      </c>
    </row>
    <row r="175" spans="2:5">
      <c r="B175" s="105">
        <v>267</v>
      </c>
      <c r="D175" s="95" t="s">
        <v>278</v>
      </c>
      <c r="E175" s="106" t="s">
        <v>1064</v>
      </c>
    </row>
    <row r="176" spans="2:5">
      <c r="B176" s="105">
        <v>268</v>
      </c>
      <c r="D176" s="95" t="s">
        <v>1177</v>
      </c>
      <c r="E176" s="106" t="s">
        <v>334</v>
      </c>
    </row>
    <row r="177" spans="2:5">
      <c r="B177" s="105">
        <v>269</v>
      </c>
      <c r="D177" s="95" t="s">
        <v>1167</v>
      </c>
      <c r="E177" s="106" t="s">
        <v>817</v>
      </c>
    </row>
    <row r="178" spans="2:5">
      <c r="B178" s="105">
        <v>270</v>
      </c>
      <c r="D178" s="95" t="s">
        <v>810</v>
      </c>
      <c r="E178" s="106" t="s">
        <v>1103</v>
      </c>
    </row>
    <row r="179" spans="2:5">
      <c r="B179" s="105">
        <v>271</v>
      </c>
      <c r="D179" s="95" t="s">
        <v>388</v>
      </c>
      <c r="E179" s="106" t="s">
        <v>488</v>
      </c>
    </row>
    <row r="180" spans="2:5" ht="24">
      <c r="B180" s="105">
        <v>272</v>
      </c>
      <c r="D180" s="95" t="s">
        <v>147</v>
      </c>
    </row>
    <row r="181" spans="2:5">
      <c r="B181" s="105">
        <v>273</v>
      </c>
      <c r="D181" s="95" t="s">
        <v>1176</v>
      </c>
      <c r="E181" s="106" t="s">
        <v>287</v>
      </c>
    </row>
    <row r="182" spans="2:5">
      <c r="B182" s="105">
        <v>274</v>
      </c>
      <c r="D182" s="95" t="s">
        <v>793</v>
      </c>
      <c r="E182" s="106" t="s">
        <v>1039</v>
      </c>
    </row>
    <row r="183" spans="2:5">
      <c r="B183" s="105">
        <v>275</v>
      </c>
      <c r="D183" s="95" t="s">
        <v>988</v>
      </c>
      <c r="E183" s="106" t="s">
        <v>577</v>
      </c>
    </row>
    <row r="184" spans="2:5">
      <c r="B184" s="105">
        <v>276</v>
      </c>
      <c r="D184" s="95" t="s">
        <v>795</v>
      </c>
      <c r="E184" s="106" t="s">
        <v>582</v>
      </c>
    </row>
    <row r="185" spans="2:5">
      <c r="B185" s="105">
        <v>277</v>
      </c>
      <c r="D185" s="95" t="s">
        <v>436</v>
      </c>
      <c r="E185" s="106" t="s">
        <v>489</v>
      </c>
    </row>
    <row r="186" spans="2:5">
      <c r="B186" s="105">
        <v>278</v>
      </c>
      <c r="D186" s="95" t="s">
        <v>916</v>
      </c>
      <c r="E186" s="106" t="s">
        <v>1012</v>
      </c>
    </row>
    <row r="187" spans="2:5">
      <c r="B187" s="105">
        <v>279</v>
      </c>
      <c r="D187" s="95" t="s">
        <v>319</v>
      </c>
      <c r="E187" s="106" t="s">
        <v>36</v>
      </c>
    </row>
    <row r="188" spans="2:5">
      <c r="B188" s="105">
        <v>280</v>
      </c>
      <c r="D188" s="95" t="s">
        <v>950</v>
      </c>
      <c r="E188" s="106" t="s">
        <v>950</v>
      </c>
    </row>
    <row r="189" spans="2:5">
      <c r="B189" s="105">
        <v>281</v>
      </c>
      <c r="D189" s="95" t="s">
        <v>741</v>
      </c>
      <c r="E189" s="106" t="s">
        <v>741</v>
      </c>
    </row>
    <row r="190" spans="2:5">
      <c r="B190" s="105">
        <v>282</v>
      </c>
      <c r="D190" s="95" t="s">
        <v>978</v>
      </c>
      <c r="E190" s="106" t="s">
        <v>788</v>
      </c>
    </row>
    <row r="191" spans="2:5">
      <c r="B191" s="105">
        <v>283</v>
      </c>
      <c r="D191" s="95" t="s">
        <v>798</v>
      </c>
      <c r="E191" s="106" t="s">
        <v>745</v>
      </c>
    </row>
    <row r="192" spans="2:5">
      <c r="B192" s="105">
        <v>284</v>
      </c>
      <c r="D192" s="95" t="s">
        <v>803</v>
      </c>
      <c r="E192" s="106" t="s">
        <v>490</v>
      </c>
    </row>
    <row r="193" spans="2:5">
      <c r="B193" s="105">
        <v>285</v>
      </c>
      <c r="D193" s="95" t="s">
        <v>534</v>
      </c>
      <c r="E193" s="106" t="s">
        <v>520</v>
      </c>
    </row>
    <row r="194" spans="2:5">
      <c r="B194" s="105">
        <v>286</v>
      </c>
      <c r="D194" s="95" t="s">
        <v>1004</v>
      </c>
      <c r="E194" s="106" t="s">
        <v>573</v>
      </c>
    </row>
    <row r="195" spans="2:5">
      <c r="B195" s="105">
        <v>287</v>
      </c>
      <c r="D195" s="95" t="s">
        <v>258</v>
      </c>
      <c r="E195" s="106" t="s">
        <v>1025</v>
      </c>
    </row>
    <row r="196" spans="2:5">
      <c r="B196" s="105">
        <v>288</v>
      </c>
      <c r="D196" s="95" t="s">
        <v>979</v>
      </c>
      <c r="E196" s="106" t="s">
        <v>573</v>
      </c>
    </row>
    <row r="197" spans="2:5">
      <c r="B197" s="105">
        <v>289</v>
      </c>
      <c r="D197" s="95" t="s">
        <v>857</v>
      </c>
      <c r="E197" s="106" t="s">
        <v>1033</v>
      </c>
    </row>
    <row r="198" spans="2:5">
      <c r="B198" s="105">
        <v>290</v>
      </c>
      <c r="D198" s="95" t="s">
        <v>718</v>
      </c>
      <c r="E198" s="106" t="s">
        <v>1067</v>
      </c>
    </row>
    <row r="199" spans="2:5">
      <c r="B199" s="105">
        <v>291</v>
      </c>
      <c r="D199" s="95" t="s">
        <v>945</v>
      </c>
      <c r="E199" s="106" t="s">
        <v>1062</v>
      </c>
    </row>
    <row r="200" spans="2:5">
      <c r="B200" s="105">
        <v>292</v>
      </c>
      <c r="D200" s="95" t="s">
        <v>508</v>
      </c>
      <c r="E200" s="106" t="s">
        <v>186</v>
      </c>
    </row>
    <row r="201" spans="2:5">
      <c r="B201" s="105">
        <v>293</v>
      </c>
      <c r="D201" s="95" t="s">
        <v>649</v>
      </c>
      <c r="E201" s="106" t="s">
        <v>20</v>
      </c>
    </row>
    <row r="202" spans="2:5">
      <c r="B202" s="105">
        <v>294</v>
      </c>
      <c r="D202" s="95" t="s">
        <v>260</v>
      </c>
      <c r="E202" s="106" t="s">
        <v>1036</v>
      </c>
    </row>
    <row r="203" spans="2:5">
      <c r="B203" s="105">
        <v>295</v>
      </c>
      <c r="D203" s="95" t="s">
        <v>832</v>
      </c>
      <c r="E203" s="106" t="s">
        <v>570</v>
      </c>
    </row>
    <row r="204" spans="2:5">
      <c r="B204" s="105">
        <v>296</v>
      </c>
      <c r="D204" s="95" t="s">
        <v>1173</v>
      </c>
      <c r="E204" s="106" t="s">
        <v>874</v>
      </c>
    </row>
    <row r="205" spans="2:5">
      <c r="B205" s="105">
        <v>297</v>
      </c>
      <c r="D205" s="95" t="s">
        <v>19</v>
      </c>
      <c r="E205" s="106" t="s">
        <v>299</v>
      </c>
    </row>
    <row r="206" spans="2:5">
      <c r="B206" s="105">
        <v>298</v>
      </c>
      <c r="D206" s="95" t="s">
        <v>959</v>
      </c>
      <c r="E206" s="106" t="s">
        <v>544</v>
      </c>
    </row>
    <row r="207" spans="2:5" ht="24">
      <c r="B207" s="105">
        <v>299</v>
      </c>
      <c r="D207" s="95" t="s">
        <v>893</v>
      </c>
      <c r="E207" s="106" t="s">
        <v>479</v>
      </c>
    </row>
    <row r="208" spans="2:5" ht="24">
      <c r="B208" s="105">
        <v>300</v>
      </c>
      <c r="D208" s="95" t="s">
        <v>894</v>
      </c>
      <c r="E208" s="106" t="s">
        <v>120</v>
      </c>
    </row>
    <row r="209" spans="2:5">
      <c r="B209" s="105">
        <v>301</v>
      </c>
      <c r="D209" s="95" t="s">
        <v>343</v>
      </c>
      <c r="E209" s="106" t="s">
        <v>774</v>
      </c>
    </row>
    <row r="210" spans="2:5">
      <c r="B210" s="105">
        <v>302</v>
      </c>
      <c r="D210" s="95" t="s">
        <v>160</v>
      </c>
      <c r="E210" s="106" t="s">
        <v>1151</v>
      </c>
    </row>
    <row r="211" spans="2:5">
      <c r="B211" s="105">
        <v>303</v>
      </c>
      <c r="D211" s="95" t="s">
        <v>417</v>
      </c>
      <c r="E211" s="106" t="s">
        <v>1086</v>
      </c>
    </row>
    <row r="212" spans="2:5">
      <c r="B212" s="105">
        <v>304</v>
      </c>
      <c r="D212" s="95" t="s">
        <v>361</v>
      </c>
      <c r="E212" s="106" t="s">
        <v>729</v>
      </c>
    </row>
    <row r="213" spans="2:5">
      <c r="B213" s="105">
        <v>305</v>
      </c>
      <c r="D213" s="95" t="s">
        <v>1007</v>
      </c>
      <c r="E213" s="106" t="s">
        <v>545</v>
      </c>
    </row>
    <row r="214" spans="2:5">
      <c r="B214" s="105">
        <v>306</v>
      </c>
      <c r="D214" s="95" t="s">
        <v>279</v>
      </c>
      <c r="E214" s="106" t="s">
        <v>1118</v>
      </c>
    </row>
    <row r="215" spans="2:5">
      <c r="B215" s="105">
        <v>307</v>
      </c>
      <c r="D215" s="95" t="s">
        <v>235</v>
      </c>
      <c r="E215" s="106" t="s">
        <v>1037</v>
      </c>
    </row>
    <row r="216" spans="2:5">
      <c r="B216" s="105">
        <v>308</v>
      </c>
      <c r="D216" s="95" t="s">
        <v>813</v>
      </c>
      <c r="E216" s="106" t="s">
        <v>1068</v>
      </c>
    </row>
    <row r="217" spans="2:5">
      <c r="B217" s="105">
        <v>309</v>
      </c>
      <c r="D217" s="95" t="s">
        <v>341</v>
      </c>
      <c r="E217" s="106" t="s">
        <v>433</v>
      </c>
    </row>
    <row r="218" spans="2:5">
      <c r="B218" s="105">
        <v>310</v>
      </c>
      <c r="D218" s="95" t="s">
        <v>498</v>
      </c>
      <c r="E218" s="106" t="s">
        <v>288</v>
      </c>
    </row>
    <row r="219" spans="2:5" ht="24">
      <c r="B219" s="105">
        <v>311</v>
      </c>
      <c r="D219" s="95" t="s">
        <v>52</v>
      </c>
      <c r="E219" s="106" t="s">
        <v>491</v>
      </c>
    </row>
    <row r="220" spans="2:5">
      <c r="B220" s="105">
        <v>312</v>
      </c>
      <c r="D220" s="95" t="s">
        <v>804</v>
      </c>
      <c r="E220" s="106" t="s">
        <v>1049</v>
      </c>
    </row>
    <row r="221" spans="2:5">
      <c r="B221" s="105">
        <v>313</v>
      </c>
      <c r="C221" s="102" t="s">
        <v>265</v>
      </c>
      <c r="D221" s="95" t="s">
        <v>1003</v>
      </c>
      <c r="E221" s="130" t="s">
        <v>539</v>
      </c>
    </row>
    <row r="222" spans="2:5">
      <c r="B222" s="105">
        <v>314</v>
      </c>
      <c r="D222" s="95" t="s">
        <v>156</v>
      </c>
      <c r="E222" s="106" t="s">
        <v>304</v>
      </c>
    </row>
    <row r="223" spans="2:5">
      <c r="B223" s="105">
        <v>315</v>
      </c>
      <c r="D223" s="95" t="s">
        <v>651</v>
      </c>
      <c r="E223" s="106" t="s">
        <v>166</v>
      </c>
    </row>
    <row r="224" spans="2:5">
      <c r="B224" s="105">
        <v>316</v>
      </c>
      <c r="D224" s="95" t="s">
        <v>337</v>
      </c>
      <c r="E224" s="106" t="s">
        <v>735</v>
      </c>
    </row>
    <row r="225" spans="1:6">
      <c r="B225" s="105">
        <v>317</v>
      </c>
      <c r="D225" s="95" t="s">
        <v>354</v>
      </c>
      <c r="E225" s="106" t="s">
        <v>1059</v>
      </c>
    </row>
    <row r="226" spans="1:6">
      <c r="B226" s="105">
        <v>318</v>
      </c>
      <c r="D226" s="95" t="s">
        <v>419</v>
      </c>
      <c r="E226" s="106" t="s">
        <v>1051</v>
      </c>
    </row>
    <row r="227" spans="1:6">
      <c r="B227" s="105">
        <v>319</v>
      </c>
      <c r="D227" s="95" t="s">
        <v>5</v>
      </c>
      <c r="E227" s="106" t="s">
        <v>732</v>
      </c>
    </row>
    <row r="228" spans="1:6">
      <c r="B228" s="105">
        <v>320</v>
      </c>
      <c r="D228" s="95" t="s">
        <v>359</v>
      </c>
      <c r="E228" s="106" t="s">
        <v>463</v>
      </c>
    </row>
    <row r="229" spans="1:6" ht="60">
      <c r="B229" s="105">
        <v>321</v>
      </c>
      <c r="D229" s="95" t="s">
        <v>1210</v>
      </c>
      <c r="E229" s="106" t="s">
        <v>1194</v>
      </c>
    </row>
    <row r="230" spans="1:6">
      <c r="B230" s="105">
        <v>322</v>
      </c>
      <c r="D230" s="95" t="s">
        <v>421</v>
      </c>
      <c r="E230" s="106" t="s">
        <v>285</v>
      </c>
    </row>
    <row r="231" spans="1:6" ht="24">
      <c r="B231" s="105">
        <v>323</v>
      </c>
      <c r="D231" s="95" t="s">
        <v>673</v>
      </c>
      <c r="E231" s="106" t="s">
        <v>701</v>
      </c>
    </row>
    <row r="232" spans="1:6">
      <c r="A232" s="97"/>
      <c r="B232" s="105">
        <v>324</v>
      </c>
      <c r="C232" s="104" t="s">
        <v>441</v>
      </c>
      <c r="D232" s="96" t="s">
        <v>866</v>
      </c>
      <c r="E232" s="96" t="s">
        <v>550</v>
      </c>
      <c r="F232" s="98"/>
    </row>
    <row r="233" spans="1:6">
      <c r="A233" s="97"/>
      <c r="B233" s="105">
        <v>325</v>
      </c>
      <c r="C233" s="104" t="s">
        <v>441</v>
      </c>
      <c r="D233" s="96" t="s">
        <v>431</v>
      </c>
      <c r="E233" s="96" t="s">
        <v>1069</v>
      </c>
      <c r="F233" s="98"/>
    </row>
    <row r="234" spans="1:6">
      <c r="A234" s="97"/>
      <c r="B234" s="105">
        <v>326</v>
      </c>
      <c r="C234" s="104" t="s">
        <v>441</v>
      </c>
      <c r="D234" s="96" t="s">
        <v>252</v>
      </c>
      <c r="E234" s="96" t="s">
        <v>1115</v>
      </c>
      <c r="F234" s="98"/>
    </row>
    <row r="235" spans="1:6">
      <c r="B235" s="105">
        <v>327</v>
      </c>
      <c r="D235" s="95" t="s">
        <v>846</v>
      </c>
      <c r="E235" s="106" t="s">
        <v>579</v>
      </c>
    </row>
    <row r="236" spans="1:6" ht="12.75">
      <c r="B236" s="105">
        <v>328</v>
      </c>
      <c r="D236" s="95" t="s">
        <v>423</v>
      </c>
      <c r="E236" s="131" t="s">
        <v>151</v>
      </c>
    </row>
    <row r="237" spans="1:6">
      <c r="B237" s="105">
        <v>329</v>
      </c>
      <c r="D237" s="95" t="s">
        <v>255</v>
      </c>
      <c r="E237" s="106" t="s">
        <v>1089</v>
      </c>
    </row>
    <row r="238" spans="1:6">
      <c r="B238" s="105">
        <v>330</v>
      </c>
      <c r="D238" s="95" t="s">
        <v>509</v>
      </c>
      <c r="E238" s="106" t="s">
        <v>446</v>
      </c>
    </row>
    <row r="239" spans="1:6">
      <c r="B239" s="105">
        <v>331</v>
      </c>
      <c r="D239" s="95" t="s">
        <v>357</v>
      </c>
      <c r="E239" s="106" t="s">
        <v>280</v>
      </c>
    </row>
    <row r="240" spans="1:6">
      <c r="B240" s="105">
        <v>332</v>
      </c>
      <c r="D240" s="95" t="s">
        <v>703</v>
      </c>
      <c r="E240" s="106" t="s">
        <v>823</v>
      </c>
    </row>
    <row r="241" spans="2:5">
      <c r="B241" s="105">
        <v>333</v>
      </c>
      <c r="D241" s="95" t="s">
        <v>95</v>
      </c>
      <c r="E241" s="106" t="s">
        <v>469</v>
      </c>
    </row>
    <row r="242" spans="2:5">
      <c r="B242" s="105">
        <v>334</v>
      </c>
      <c r="D242" s="95" t="s">
        <v>109</v>
      </c>
      <c r="E242" s="106" t="s">
        <v>1178</v>
      </c>
    </row>
    <row r="243" spans="2:5">
      <c r="B243" s="105">
        <v>335</v>
      </c>
      <c r="D243" s="95" t="s">
        <v>684</v>
      </c>
      <c r="E243" s="106" t="s">
        <v>350</v>
      </c>
    </row>
    <row r="244" spans="2:5">
      <c r="B244" s="105">
        <v>336</v>
      </c>
      <c r="D244" s="95" t="s">
        <v>787</v>
      </c>
      <c r="E244" s="106" t="s">
        <v>1035</v>
      </c>
    </row>
    <row r="245" spans="2:5">
      <c r="B245" s="105">
        <v>337</v>
      </c>
      <c r="D245" s="95" t="s">
        <v>282</v>
      </c>
      <c r="E245" s="106" t="s">
        <v>1045</v>
      </c>
    </row>
    <row r="246" spans="2:5">
      <c r="B246" s="105">
        <v>338</v>
      </c>
      <c r="D246" s="95" t="s">
        <v>276</v>
      </c>
      <c r="E246" s="106" t="s">
        <v>1019</v>
      </c>
    </row>
    <row r="247" spans="2:5">
      <c r="B247" s="105">
        <v>339</v>
      </c>
      <c r="D247" s="95" t="s">
        <v>232</v>
      </c>
      <c r="E247" s="106" t="s">
        <v>734</v>
      </c>
    </row>
    <row r="248" spans="2:5">
      <c r="B248" s="105">
        <v>340</v>
      </c>
      <c r="D248" s="95" t="s">
        <v>785</v>
      </c>
      <c r="E248" s="106" t="s">
        <v>572</v>
      </c>
    </row>
    <row r="249" spans="2:5">
      <c r="B249" s="105">
        <v>341</v>
      </c>
      <c r="D249" s="95" t="s">
        <v>845</v>
      </c>
      <c r="E249" s="106" t="s">
        <v>1096</v>
      </c>
    </row>
    <row r="250" spans="2:5">
      <c r="B250" s="105">
        <v>342</v>
      </c>
      <c r="D250" s="95" t="s">
        <v>835</v>
      </c>
      <c r="E250" s="106" t="s">
        <v>743</v>
      </c>
    </row>
    <row r="251" spans="2:5">
      <c r="B251" s="105">
        <v>343</v>
      </c>
      <c r="D251" s="95" t="s">
        <v>409</v>
      </c>
      <c r="E251" s="106" t="s">
        <v>1074</v>
      </c>
    </row>
    <row r="252" spans="2:5">
      <c r="B252" s="105">
        <v>344</v>
      </c>
      <c r="D252" s="95" t="s">
        <v>270</v>
      </c>
      <c r="E252" s="106" t="s">
        <v>1032</v>
      </c>
    </row>
    <row r="253" spans="2:5">
      <c r="B253" s="105">
        <v>345</v>
      </c>
      <c r="D253" s="95" t="s">
        <v>704</v>
      </c>
      <c r="E253" s="106" t="s">
        <v>819</v>
      </c>
    </row>
    <row r="254" spans="2:5">
      <c r="B254" s="105">
        <v>346</v>
      </c>
      <c r="D254" s="95" t="s">
        <v>618</v>
      </c>
      <c r="E254" s="106" t="s">
        <v>331</v>
      </c>
    </row>
    <row r="255" spans="2:5">
      <c r="B255" s="105">
        <v>347</v>
      </c>
      <c r="D255" s="95" t="s">
        <v>426</v>
      </c>
      <c r="E255" s="106" t="s">
        <v>426</v>
      </c>
    </row>
    <row r="256" spans="2:5">
      <c r="B256" s="105">
        <v>348</v>
      </c>
      <c r="D256" s="95" t="s">
        <v>272</v>
      </c>
      <c r="E256" s="106" t="s">
        <v>1053</v>
      </c>
    </row>
    <row r="257" spans="2:5" ht="36">
      <c r="B257" s="105">
        <v>349</v>
      </c>
      <c r="D257" s="95" t="s">
        <v>60</v>
      </c>
      <c r="E257" s="106" t="s">
        <v>692</v>
      </c>
    </row>
    <row r="258" spans="2:5">
      <c r="B258" s="105">
        <v>350</v>
      </c>
      <c r="D258" s="95" t="s">
        <v>228</v>
      </c>
      <c r="E258" s="106" t="s">
        <v>1087</v>
      </c>
    </row>
    <row r="259" spans="2:5" ht="24">
      <c r="B259" s="105">
        <v>351</v>
      </c>
      <c r="D259" s="95" t="s">
        <v>247</v>
      </c>
      <c r="E259" s="106" t="s">
        <v>83</v>
      </c>
    </row>
    <row r="260" spans="2:5" ht="12.75">
      <c r="B260" s="105">
        <v>352</v>
      </c>
      <c r="D260" s="100" t="s">
        <v>757</v>
      </c>
      <c r="E260" s="95" t="s">
        <v>562</v>
      </c>
    </row>
    <row r="261" spans="2:5">
      <c r="B261" s="105">
        <v>353</v>
      </c>
      <c r="D261" s="95" t="s">
        <v>413</v>
      </c>
      <c r="E261" s="106" t="s">
        <v>484</v>
      </c>
    </row>
    <row r="262" spans="2:5">
      <c r="B262" s="105">
        <v>354</v>
      </c>
      <c r="D262" s="95" t="s">
        <v>360</v>
      </c>
      <c r="E262" s="106" t="s">
        <v>297</v>
      </c>
    </row>
    <row r="263" spans="2:5">
      <c r="B263" s="105">
        <v>355</v>
      </c>
      <c r="D263" s="95" t="s">
        <v>174</v>
      </c>
      <c r="E263" s="106" t="s">
        <v>1154</v>
      </c>
    </row>
    <row r="264" spans="2:5">
      <c r="B264" s="105">
        <v>356</v>
      </c>
      <c r="D264" s="95" t="s">
        <v>533</v>
      </c>
      <c r="E264" s="106" t="s">
        <v>578</v>
      </c>
    </row>
    <row r="265" spans="2:5">
      <c r="B265" s="105">
        <v>357</v>
      </c>
      <c r="D265" s="95" t="s">
        <v>982</v>
      </c>
      <c r="E265" s="106" t="s">
        <v>552</v>
      </c>
    </row>
    <row r="266" spans="2:5">
      <c r="B266" s="105">
        <v>358</v>
      </c>
      <c r="D266" s="95" t="s">
        <v>362</v>
      </c>
      <c r="E266" s="106" t="s">
        <v>733</v>
      </c>
    </row>
    <row r="267" spans="2:5">
      <c r="B267" s="105">
        <v>359</v>
      </c>
      <c r="D267" s="95" t="s">
        <v>9</v>
      </c>
      <c r="E267" s="106" t="s">
        <v>825</v>
      </c>
    </row>
    <row r="268" spans="2:5">
      <c r="B268" s="105">
        <v>360</v>
      </c>
      <c r="D268" s="95" t="s">
        <v>843</v>
      </c>
      <c r="E268" s="106" t="s">
        <v>1043</v>
      </c>
    </row>
    <row r="269" spans="2:5">
      <c r="B269" s="105">
        <v>361</v>
      </c>
      <c r="D269" s="95" t="s">
        <v>505</v>
      </c>
    </row>
    <row r="270" spans="2:5">
      <c r="B270" s="105">
        <v>362</v>
      </c>
      <c r="D270" s="95" t="s">
        <v>13</v>
      </c>
      <c r="E270" s="106" t="s">
        <v>815</v>
      </c>
    </row>
    <row r="271" spans="2:5" ht="24">
      <c r="B271" s="105">
        <v>363</v>
      </c>
      <c r="D271" s="95" t="s">
        <v>660</v>
      </c>
      <c r="E271" s="106" t="s">
        <v>101</v>
      </c>
    </row>
    <row r="272" spans="2:5" ht="24">
      <c r="B272" s="105">
        <v>364</v>
      </c>
      <c r="D272" s="95" t="s">
        <v>140</v>
      </c>
      <c r="E272" s="106" t="s">
        <v>500</v>
      </c>
    </row>
    <row r="273" spans="2:5">
      <c r="B273" s="105">
        <v>365</v>
      </c>
      <c r="D273" s="95" t="s">
        <v>705</v>
      </c>
      <c r="E273" s="106" t="s">
        <v>460</v>
      </c>
    </row>
    <row r="274" spans="2:5">
      <c r="B274" s="105">
        <v>366</v>
      </c>
      <c r="D274" s="95" t="s">
        <v>1200</v>
      </c>
      <c r="E274" s="106" t="s">
        <v>736</v>
      </c>
    </row>
    <row r="275" spans="2:5">
      <c r="B275" s="105">
        <v>367</v>
      </c>
      <c r="D275" s="95" t="s">
        <v>812</v>
      </c>
      <c r="E275" s="106" t="s">
        <v>560</v>
      </c>
    </row>
    <row r="276" spans="2:5">
      <c r="B276" s="105">
        <v>368</v>
      </c>
      <c r="D276" s="95" t="s">
        <v>257</v>
      </c>
      <c r="E276" s="106" t="s">
        <v>1015</v>
      </c>
    </row>
    <row r="277" spans="2:5">
      <c r="B277" s="105">
        <v>369</v>
      </c>
      <c r="D277" s="95" t="s">
        <v>274</v>
      </c>
      <c r="E277" s="106" t="s">
        <v>1073</v>
      </c>
    </row>
    <row r="278" spans="2:5">
      <c r="B278" s="105">
        <v>370</v>
      </c>
      <c r="D278" s="95" t="s">
        <v>408</v>
      </c>
      <c r="E278" s="106" t="s">
        <v>1058</v>
      </c>
    </row>
    <row r="279" spans="2:5">
      <c r="B279" s="105">
        <v>371</v>
      </c>
      <c r="D279" s="95" t="s">
        <v>115</v>
      </c>
      <c r="E279" s="106" t="s">
        <v>344</v>
      </c>
    </row>
    <row r="280" spans="2:5">
      <c r="B280" s="105">
        <v>372</v>
      </c>
      <c r="D280" s="95" t="s">
        <v>962</v>
      </c>
      <c r="E280" s="106" t="s">
        <v>556</v>
      </c>
    </row>
    <row r="281" spans="2:5">
      <c r="B281" s="105">
        <v>373</v>
      </c>
      <c r="D281" s="95" t="s">
        <v>791</v>
      </c>
      <c r="E281" s="106" t="s">
        <v>1047</v>
      </c>
    </row>
    <row r="282" spans="2:5">
      <c r="B282" s="105">
        <v>374</v>
      </c>
      <c r="D282" s="95" t="s">
        <v>634</v>
      </c>
      <c r="E282" s="106" t="s">
        <v>1159</v>
      </c>
    </row>
    <row r="283" spans="2:5">
      <c r="B283" s="105">
        <v>375</v>
      </c>
      <c r="D283" s="95" t="s">
        <v>855</v>
      </c>
      <c r="E283" s="106" t="s">
        <v>829</v>
      </c>
    </row>
    <row r="284" spans="2:5">
      <c r="B284" s="105">
        <v>376</v>
      </c>
      <c r="D284" s="95" t="s">
        <v>677</v>
      </c>
      <c r="E284" s="106" t="s">
        <v>694</v>
      </c>
    </row>
    <row r="285" spans="2:5">
      <c r="B285" s="105">
        <v>377</v>
      </c>
      <c r="D285" s="95" t="s">
        <v>241</v>
      </c>
      <c r="E285" s="106" t="s">
        <v>1065</v>
      </c>
    </row>
    <row r="286" spans="2:5">
      <c r="B286" s="105">
        <v>378</v>
      </c>
      <c r="D286" s="95" t="s">
        <v>526</v>
      </c>
      <c r="E286" s="106" t="s">
        <v>575</v>
      </c>
    </row>
    <row r="287" spans="2:5">
      <c r="B287" s="105">
        <v>379</v>
      </c>
      <c r="D287" s="95" t="s">
        <v>935</v>
      </c>
      <c r="E287" s="106" t="s">
        <v>594</v>
      </c>
    </row>
    <row r="288" spans="2:5">
      <c r="B288" s="105">
        <v>380</v>
      </c>
      <c r="D288" s="95" t="s">
        <v>630</v>
      </c>
      <c r="E288" s="106" t="s">
        <v>1203</v>
      </c>
    </row>
    <row r="289" spans="2:5">
      <c r="B289" s="105">
        <v>381</v>
      </c>
      <c r="D289" s="95" t="s">
        <v>799</v>
      </c>
      <c r="E289" s="106" t="s">
        <v>593</v>
      </c>
    </row>
    <row r="290" spans="2:5" ht="36">
      <c r="B290" s="105">
        <v>382</v>
      </c>
      <c r="D290" s="95" t="s">
        <v>117</v>
      </c>
      <c r="E290" s="106" t="s">
        <v>671</v>
      </c>
    </row>
    <row r="291" spans="2:5">
      <c r="B291" s="105">
        <v>383</v>
      </c>
      <c r="D291" s="95" t="s">
        <v>15</v>
      </c>
      <c r="E291" s="106" t="s">
        <v>877</v>
      </c>
    </row>
    <row r="292" spans="2:5" ht="24">
      <c r="B292" s="105">
        <v>384</v>
      </c>
      <c r="D292" s="95" t="s">
        <v>664</v>
      </c>
      <c r="E292" s="106" t="s">
        <v>24</v>
      </c>
    </row>
    <row r="293" spans="2:5">
      <c r="B293" s="105">
        <v>385</v>
      </c>
      <c r="D293" s="95" t="s">
        <v>312</v>
      </c>
      <c r="E293" s="106" t="s">
        <v>79</v>
      </c>
    </row>
    <row r="294" spans="2:5" ht="24">
      <c r="B294" s="105">
        <v>386</v>
      </c>
      <c r="D294" s="95" t="s">
        <v>141</v>
      </c>
      <c r="E294" s="106" t="s">
        <v>670</v>
      </c>
    </row>
    <row r="295" spans="2:5" ht="24">
      <c r="B295" s="105">
        <v>387</v>
      </c>
      <c r="D295" s="95" t="s">
        <v>142</v>
      </c>
      <c r="E295" s="106" t="s">
        <v>27</v>
      </c>
    </row>
    <row r="296" spans="2:5" ht="24">
      <c r="B296" s="105">
        <v>388</v>
      </c>
      <c r="D296" s="95" t="s">
        <v>890</v>
      </c>
      <c r="E296" s="106" t="s">
        <v>38</v>
      </c>
    </row>
    <row r="297" spans="2:5" ht="24">
      <c r="B297" s="105">
        <v>389</v>
      </c>
      <c r="D297" s="95" t="s">
        <v>134</v>
      </c>
      <c r="E297" s="106" t="s">
        <v>499</v>
      </c>
    </row>
    <row r="298" spans="2:5" ht="24">
      <c r="B298" s="105">
        <v>390</v>
      </c>
      <c r="D298" s="95" t="s">
        <v>56</v>
      </c>
      <c r="E298" s="106" t="s">
        <v>482</v>
      </c>
    </row>
    <row r="299" spans="2:5" ht="24">
      <c r="B299" s="105">
        <v>391</v>
      </c>
      <c r="D299" s="95" t="s">
        <v>659</v>
      </c>
      <c r="E299" s="106" t="s">
        <v>43</v>
      </c>
    </row>
    <row r="300" spans="2:5" ht="24">
      <c r="B300" s="105">
        <v>392</v>
      </c>
      <c r="D300" s="95" t="s">
        <v>53</v>
      </c>
      <c r="E300" s="106" t="s">
        <v>44</v>
      </c>
    </row>
    <row r="301" spans="2:5" ht="24">
      <c r="B301" s="105">
        <v>393</v>
      </c>
      <c r="D301" s="95" t="s">
        <v>640</v>
      </c>
      <c r="E301" s="106" t="s">
        <v>6</v>
      </c>
    </row>
    <row r="302" spans="2:5" ht="24">
      <c r="B302" s="105">
        <v>394</v>
      </c>
      <c r="D302" s="95" t="s">
        <v>889</v>
      </c>
      <c r="E302" s="106" t="s">
        <v>40</v>
      </c>
    </row>
    <row r="303" spans="2:5" ht="24">
      <c r="B303" s="105">
        <v>395</v>
      </c>
      <c r="D303" s="95" t="s">
        <v>138</v>
      </c>
      <c r="E303" s="106" t="s">
        <v>4</v>
      </c>
    </row>
    <row r="304" spans="2:5" ht="24">
      <c r="B304" s="105">
        <v>396</v>
      </c>
      <c r="D304" s="95" t="s">
        <v>662</v>
      </c>
      <c r="E304" s="106" t="s">
        <v>8</v>
      </c>
    </row>
    <row r="305" spans="2:5" ht="24">
      <c r="B305" s="105">
        <v>397</v>
      </c>
      <c r="D305" s="95" t="s">
        <v>54</v>
      </c>
      <c r="E305" s="106" t="s">
        <v>22</v>
      </c>
    </row>
    <row r="306" spans="2:5" ht="24">
      <c r="B306" s="105">
        <v>398</v>
      </c>
      <c r="D306" s="95" t="s">
        <v>50</v>
      </c>
      <c r="E306" s="106" t="s">
        <v>46</v>
      </c>
    </row>
    <row r="307" spans="2:5" ht="24">
      <c r="B307" s="105">
        <v>399</v>
      </c>
      <c r="D307" s="95" t="s">
        <v>635</v>
      </c>
      <c r="E307" s="106" t="s">
        <v>33</v>
      </c>
    </row>
    <row r="308" spans="2:5" ht="24">
      <c r="B308" s="105">
        <v>400</v>
      </c>
      <c r="D308" s="95" t="s">
        <v>663</v>
      </c>
      <c r="E308" s="106" t="s">
        <v>18</v>
      </c>
    </row>
    <row r="309" spans="2:5" ht="24">
      <c r="B309" s="105">
        <v>401</v>
      </c>
      <c r="D309" s="95" t="s">
        <v>51</v>
      </c>
      <c r="E309" s="106" t="s">
        <v>11</v>
      </c>
    </row>
    <row r="310" spans="2:5" ht="24">
      <c r="B310" s="105">
        <v>402</v>
      </c>
      <c r="D310" s="95" t="s">
        <v>49</v>
      </c>
      <c r="E310" s="106" t="s">
        <v>480</v>
      </c>
    </row>
    <row r="311" spans="2:5" ht="24">
      <c r="B311" s="105">
        <v>403</v>
      </c>
      <c r="D311" s="95" t="s">
        <v>66</v>
      </c>
      <c r="E311" s="106" t="s">
        <v>76</v>
      </c>
    </row>
    <row r="312" spans="2:5" ht="24">
      <c r="B312" s="105">
        <v>404</v>
      </c>
      <c r="D312" s="95" t="s">
        <v>639</v>
      </c>
      <c r="E312" s="106" t="s">
        <v>7</v>
      </c>
    </row>
    <row r="313" spans="2:5">
      <c r="B313" s="105">
        <v>405</v>
      </c>
      <c r="D313" s="95" t="s">
        <v>179</v>
      </c>
      <c r="E313" s="106" t="s">
        <v>102</v>
      </c>
    </row>
    <row r="314" spans="2:5">
      <c r="B314" s="105">
        <v>406</v>
      </c>
      <c r="D314" s="95" t="s">
        <v>61</v>
      </c>
      <c r="E314" s="106" t="s">
        <v>102</v>
      </c>
    </row>
    <row r="315" spans="2:5">
      <c r="B315" s="105">
        <v>407</v>
      </c>
      <c r="D315" s="95" t="s">
        <v>132</v>
      </c>
      <c r="E315" s="106" t="s">
        <v>89</v>
      </c>
    </row>
    <row r="316" spans="2:5" ht="24">
      <c r="B316" s="105">
        <v>408</v>
      </c>
      <c r="D316" s="95" t="s">
        <v>135</v>
      </c>
      <c r="E316" s="106" t="s">
        <v>169</v>
      </c>
    </row>
    <row r="317" spans="2:5">
      <c r="B317" s="105">
        <v>409</v>
      </c>
      <c r="D317" s="95" t="s">
        <v>309</v>
      </c>
      <c r="E317" s="106" t="s">
        <v>91</v>
      </c>
    </row>
    <row r="318" spans="2:5" ht="24">
      <c r="B318" s="105">
        <v>410</v>
      </c>
      <c r="D318" s="95" t="s">
        <v>68</v>
      </c>
      <c r="E318" s="106" t="s">
        <v>477</v>
      </c>
    </row>
    <row r="319" spans="2:5">
      <c r="B319" s="105">
        <v>411</v>
      </c>
      <c r="D319" s="95" t="s">
        <v>144</v>
      </c>
      <c r="E319" s="106" t="s">
        <v>103</v>
      </c>
    </row>
    <row r="320" spans="2:5" ht="24">
      <c r="B320" s="105">
        <v>412</v>
      </c>
      <c r="D320" s="95" t="s">
        <v>92</v>
      </c>
      <c r="E320" s="106" t="s">
        <v>709</v>
      </c>
    </row>
    <row r="321" spans="1:6">
      <c r="B321" s="105">
        <v>413</v>
      </c>
      <c r="D321" s="95" t="s">
        <v>420</v>
      </c>
      <c r="E321" s="106" t="s">
        <v>1168</v>
      </c>
    </row>
    <row r="322" spans="1:6" ht="24">
      <c r="B322" s="105">
        <v>414</v>
      </c>
      <c r="D322" s="95" t="s">
        <v>487</v>
      </c>
      <c r="E322" s="106" t="s">
        <v>485</v>
      </c>
    </row>
    <row r="323" spans="1:6">
      <c r="B323" s="105">
        <v>415</v>
      </c>
      <c r="D323" s="95" t="s">
        <v>1185</v>
      </c>
      <c r="E323" s="106" t="s">
        <v>281</v>
      </c>
    </row>
    <row r="324" spans="1:6" ht="36">
      <c r="B324" s="105">
        <v>416</v>
      </c>
      <c r="D324" s="95" t="s">
        <v>475</v>
      </c>
      <c r="E324" s="106" t="s">
        <v>471</v>
      </c>
    </row>
    <row r="325" spans="1:6">
      <c r="B325" s="105">
        <v>417</v>
      </c>
      <c r="D325" s="95" t="s">
        <v>122</v>
      </c>
      <c r="E325" s="106" t="s">
        <v>706</v>
      </c>
    </row>
    <row r="326" spans="1:6" ht="24">
      <c r="B326" s="105">
        <v>418</v>
      </c>
      <c r="D326" s="95" t="s">
        <v>139</v>
      </c>
      <c r="E326" s="106" t="s">
        <v>104</v>
      </c>
    </row>
    <row r="327" spans="1:6" ht="24">
      <c r="B327" s="105">
        <v>419</v>
      </c>
      <c r="D327" s="95" t="s">
        <v>661</v>
      </c>
      <c r="E327" s="106" t="s">
        <v>678</v>
      </c>
    </row>
    <row r="328" spans="1:6" ht="24">
      <c r="B328" s="105">
        <v>420</v>
      </c>
      <c r="D328" s="95" t="s">
        <v>112</v>
      </c>
      <c r="E328" s="106" t="s">
        <v>681</v>
      </c>
    </row>
    <row r="329" spans="1:6">
      <c r="B329" s="105">
        <v>421</v>
      </c>
      <c r="D329" s="95" t="s">
        <v>619</v>
      </c>
      <c r="E329" s="106" t="s">
        <v>830</v>
      </c>
    </row>
    <row r="330" spans="1:6">
      <c r="B330" s="105">
        <v>422</v>
      </c>
      <c r="D330" s="95" t="s">
        <v>494</v>
      </c>
      <c r="E330" s="106" t="s">
        <v>449</v>
      </c>
    </row>
    <row r="331" spans="1:6">
      <c r="B331" s="105">
        <v>423</v>
      </c>
      <c r="D331" s="95" t="s">
        <v>311</v>
      </c>
      <c r="E331" s="106" t="s">
        <v>1205</v>
      </c>
    </row>
    <row r="332" spans="1:6">
      <c r="B332" s="105">
        <v>424</v>
      </c>
      <c r="D332" s="95" t="s">
        <v>687</v>
      </c>
      <c r="E332" s="106" t="s">
        <v>322</v>
      </c>
    </row>
    <row r="333" spans="1:6">
      <c r="B333" s="105">
        <v>425</v>
      </c>
      <c r="D333" s="95" t="s">
        <v>698</v>
      </c>
      <c r="E333" s="106" t="s">
        <v>321</v>
      </c>
    </row>
    <row r="334" spans="1:6">
      <c r="B334" s="105">
        <v>426</v>
      </c>
      <c r="D334" s="95" t="s">
        <v>502</v>
      </c>
      <c r="E334" s="106" t="s">
        <v>822</v>
      </c>
    </row>
    <row r="335" spans="1:6">
      <c r="B335" s="105">
        <v>427</v>
      </c>
      <c r="D335" s="95" t="s">
        <v>131</v>
      </c>
      <c r="E335" s="106" t="s">
        <v>100</v>
      </c>
    </row>
    <row r="336" spans="1:6" ht="38.25">
      <c r="A336" s="100"/>
      <c r="B336" s="105">
        <v>428</v>
      </c>
      <c r="C336" s="103" t="s">
        <v>265</v>
      </c>
      <c r="D336" s="100" t="s">
        <v>217</v>
      </c>
      <c r="E336" s="100" t="s">
        <v>137</v>
      </c>
      <c r="F336" s="101"/>
    </row>
    <row r="337" spans="2:5" ht="36">
      <c r="B337" s="105">
        <v>429</v>
      </c>
      <c r="D337" s="95" t="s">
        <v>476</v>
      </c>
      <c r="E337" s="106" t="s">
        <v>473</v>
      </c>
    </row>
    <row r="338" spans="2:5">
      <c r="B338" s="105">
        <v>430</v>
      </c>
      <c r="D338" s="95" t="s">
        <v>1201</v>
      </c>
      <c r="E338" s="106" t="s">
        <v>707</v>
      </c>
    </row>
    <row r="339" spans="2:5">
      <c r="B339" s="105">
        <v>431</v>
      </c>
      <c r="D339" s="95" t="s">
        <v>626</v>
      </c>
      <c r="E339" s="106" t="s">
        <v>215</v>
      </c>
    </row>
    <row r="340" spans="2:5">
      <c r="B340" s="105">
        <v>432</v>
      </c>
      <c r="D340" s="95" t="s">
        <v>163</v>
      </c>
      <c r="E340" s="106" t="s">
        <v>214</v>
      </c>
    </row>
    <row r="341" spans="2:5" ht="24">
      <c r="B341" s="105">
        <v>433</v>
      </c>
      <c r="D341" s="95" t="s">
        <v>93</v>
      </c>
      <c r="E341" s="106" t="s">
        <v>481</v>
      </c>
    </row>
    <row r="342" spans="2:5">
      <c r="B342" s="105">
        <v>434</v>
      </c>
      <c r="D342" s="95" t="s">
        <v>86</v>
      </c>
      <c r="E342" s="106" t="s">
        <v>878</v>
      </c>
    </row>
    <row r="343" spans="2:5">
      <c r="B343" s="105">
        <v>435</v>
      </c>
      <c r="D343" s="95" t="s">
        <v>1164</v>
      </c>
      <c r="E343" s="106" t="s">
        <v>45</v>
      </c>
    </row>
    <row r="344" spans="2:5">
      <c r="B344" s="105">
        <v>436</v>
      </c>
      <c r="D344" s="95" t="s">
        <v>1161</v>
      </c>
      <c r="E344" s="106" t="s">
        <v>25</v>
      </c>
    </row>
    <row r="345" spans="2:5">
      <c r="B345" s="105">
        <v>437</v>
      </c>
      <c r="D345" s="95" t="s">
        <v>121</v>
      </c>
      <c r="E345" s="106" t="s">
        <v>708</v>
      </c>
    </row>
    <row r="346" spans="2:5">
      <c r="B346" s="105">
        <v>438</v>
      </c>
      <c r="D346" s="95" t="s">
        <v>158</v>
      </c>
      <c r="E346" s="106" t="s">
        <v>290</v>
      </c>
    </row>
    <row r="347" spans="2:5">
      <c r="B347" s="105">
        <v>439</v>
      </c>
      <c r="D347" s="95" t="s">
        <v>177</v>
      </c>
      <c r="E347" s="106" t="s">
        <v>77</v>
      </c>
    </row>
    <row r="348" spans="2:5">
      <c r="B348" s="105">
        <v>440</v>
      </c>
      <c r="D348" s="95" t="s">
        <v>145</v>
      </c>
      <c r="E348" s="106" t="s">
        <v>168</v>
      </c>
    </row>
    <row r="349" spans="2:5" ht="24">
      <c r="B349" s="105">
        <v>441</v>
      </c>
      <c r="D349" s="95" t="s">
        <v>680</v>
      </c>
      <c r="E349" s="106" t="s">
        <v>486</v>
      </c>
    </row>
    <row r="350" spans="2:5">
      <c r="B350" s="105">
        <v>442</v>
      </c>
      <c r="D350" s="95" t="s">
        <v>833</v>
      </c>
      <c r="E350" s="106" t="s">
        <v>1169</v>
      </c>
    </row>
    <row r="351" spans="2:5">
      <c r="B351" s="105">
        <v>443</v>
      </c>
      <c r="D351" s="95" t="s">
        <v>655</v>
      </c>
      <c r="E351" s="106" t="s">
        <v>879</v>
      </c>
    </row>
    <row r="352" spans="2:5">
      <c r="B352" s="105">
        <v>444</v>
      </c>
      <c r="D352" s="95" t="s">
        <v>654</v>
      </c>
      <c r="E352" s="106" t="s">
        <v>1204</v>
      </c>
    </row>
    <row r="353" spans="2:5" ht="36">
      <c r="B353" s="105">
        <v>445</v>
      </c>
      <c r="D353" s="95" t="s">
        <v>57</v>
      </c>
      <c r="E353" s="106" t="s">
        <v>65</v>
      </c>
    </row>
    <row r="354" spans="2:5">
      <c r="B354" s="105">
        <v>446</v>
      </c>
      <c r="D354" s="95" t="s">
        <v>495</v>
      </c>
      <c r="E354" s="106" t="s">
        <v>468</v>
      </c>
    </row>
    <row r="355" spans="2:5">
      <c r="B355" s="105">
        <v>447</v>
      </c>
      <c r="D355" s="95" t="s">
        <v>865</v>
      </c>
      <c r="E355" s="106" t="s">
        <v>301</v>
      </c>
    </row>
    <row r="356" spans="2:5">
      <c r="B356" s="105">
        <v>448</v>
      </c>
      <c r="D356" s="95" t="s">
        <v>165</v>
      </c>
      <c r="E356" s="106" t="s">
        <v>289</v>
      </c>
    </row>
    <row r="357" spans="2:5">
      <c r="B357" s="105">
        <v>449</v>
      </c>
      <c r="D357" s="95" t="s">
        <v>850</v>
      </c>
      <c r="E357" s="106" t="s">
        <v>292</v>
      </c>
    </row>
    <row r="358" spans="2:5">
      <c r="B358" s="105">
        <v>450</v>
      </c>
      <c r="D358" s="95" t="s">
        <v>685</v>
      </c>
      <c r="E358" s="106" t="s">
        <v>1207</v>
      </c>
    </row>
    <row r="359" spans="2:5" ht="24">
      <c r="B359" s="105">
        <v>451</v>
      </c>
      <c r="D359" s="95" t="s">
        <v>2</v>
      </c>
      <c r="E359" s="106" t="s">
        <v>64</v>
      </c>
    </row>
    <row r="360" spans="2:5">
      <c r="B360" s="105">
        <v>452</v>
      </c>
      <c r="D360" s="95" t="s">
        <v>315</v>
      </c>
      <c r="E360" s="106" t="s">
        <v>16</v>
      </c>
    </row>
    <row r="361" spans="2:5">
      <c r="B361" s="105">
        <v>453</v>
      </c>
      <c r="D361" s="95" t="s">
        <v>227</v>
      </c>
      <c r="E361" s="106" t="s">
        <v>740</v>
      </c>
    </row>
    <row r="362" spans="2:5">
      <c r="B362" s="105">
        <v>454</v>
      </c>
      <c r="D362" s="95" t="s">
        <v>273</v>
      </c>
      <c r="E362" s="106" t="s">
        <v>739</v>
      </c>
    </row>
    <row r="363" spans="2:5" ht="36">
      <c r="B363" s="105">
        <v>455</v>
      </c>
      <c r="D363" s="95" t="s">
        <v>67</v>
      </c>
      <c r="E363" s="106" t="s">
        <v>645</v>
      </c>
    </row>
    <row r="364" spans="2:5">
      <c r="B364" s="105">
        <v>456</v>
      </c>
      <c r="D364" s="95" t="s">
        <v>531</v>
      </c>
      <c r="E364" s="106" t="s">
        <v>563</v>
      </c>
    </row>
    <row r="365" spans="2:5">
      <c r="B365" s="105">
        <v>457</v>
      </c>
      <c r="D365" s="95" t="s">
        <v>1202</v>
      </c>
      <c r="E365" s="106" t="s">
        <v>1158</v>
      </c>
    </row>
    <row r="366" spans="2:5">
      <c r="B366" s="105">
        <v>458</v>
      </c>
      <c r="D366" s="95" t="s">
        <v>261</v>
      </c>
      <c r="E366" s="106" t="s">
        <v>887</v>
      </c>
    </row>
    <row r="367" spans="2:5">
      <c r="B367" s="105">
        <v>459</v>
      </c>
      <c r="D367" s="95" t="s">
        <v>456</v>
      </c>
      <c r="E367" s="106" t="s">
        <v>372</v>
      </c>
    </row>
    <row r="368" spans="2:5" ht="48">
      <c r="B368" s="105">
        <v>460</v>
      </c>
      <c r="D368" s="95" t="s">
        <v>1</v>
      </c>
      <c r="E368" s="106" t="s">
        <v>136</v>
      </c>
    </row>
    <row r="369" spans="1:6">
      <c r="B369" s="105">
        <v>461</v>
      </c>
      <c r="D369" s="95" t="s">
        <v>949</v>
      </c>
      <c r="E369" s="106" t="s">
        <v>568</v>
      </c>
    </row>
    <row r="370" spans="1:6">
      <c r="B370" s="105">
        <v>462</v>
      </c>
      <c r="D370" s="95" t="s">
        <v>794</v>
      </c>
      <c r="E370" s="106" t="s">
        <v>752</v>
      </c>
    </row>
    <row r="371" spans="1:6">
      <c r="B371" s="105">
        <v>463</v>
      </c>
      <c r="D371" s="95" t="s">
        <v>831</v>
      </c>
      <c r="E371" s="106" t="s">
        <v>462</v>
      </c>
    </row>
    <row r="372" spans="1:6" ht="60">
      <c r="B372" s="105">
        <v>464</v>
      </c>
      <c r="D372" s="95" t="s">
        <v>366</v>
      </c>
      <c r="E372" s="106" t="s">
        <v>352</v>
      </c>
    </row>
    <row r="373" spans="1:6">
      <c r="B373" s="105">
        <v>465</v>
      </c>
      <c r="D373" s="95" t="s">
        <v>1184</v>
      </c>
      <c r="E373" s="106" t="s">
        <v>747</v>
      </c>
    </row>
    <row r="374" spans="1:6">
      <c r="A374" s="97"/>
      <c r="B374" s="105">
        <v>466</v>
      </c>
      <c r="C374" s="104" t="s">
        <v>441</v>
      </c>
      <c r="D374" s="96" t="s">
        <v>271</v>
      </c>
      <c r="E374" s="96" t="s">
        <v>1076</v>
      </c>
      <c r="F374" s="98"/>
    </row>
    <row r="375" spans="1:6">
      <c r="A375" s="97"/>
      <c r="B375" s="105">
        <v>467</v>
      </c>
      <c r="C375" s="104" t="s">
        <v>441</v>
      </c>
      <c r="D375" s="96" t="s">
        <v>780</v>
      </c>
      <c r="E375" s="96" t="s">
        <v>1071</v>
      </c>
      <c r="F375" s="98"/>
    </row>
    <row r="376" spans="1:6" ht="12.75">
      <c r="B376" s="105">
        <v>468</v>
      </c>
      <c r="D376" s="95" t="s">
        <v>264</v>
      </c>
      <c r="E376" s="131" t="s">
        <v>148</v>
      </c>
    </row>
    <row r="377" spans="1:6">
      <c r="B377" s="105">
        <v>469</v>
      </c>
      <c r="D377" s="95" t="s">
        <v>792</v>
      </c>
      <c r="E377" s="106" t="s">
        <v>1105</v>
      </c>
    </row>
    <row r="378" spans="1:6">
      <c r="B378" s="105">
        <v>470</v>
      </c>
      <c r="D378" s="95" t="s">
        <v>535</v>
      </c>
      <c r="E378" s="106" t="s">
        <v>567</v>
      </c>
    </row>
    <row r="379" spans="1:6" ht="24">
      <c r="B379" s="105">
        <v>471</v>
      </c>
      <c r="D379" s="95" t="s">
        <v>69</v>
      </c>
      <c r="E379" s="106" t="s">
        <v>105</v>
      </c>
    </row>
    <row r="380" spans="1:6">
      <c r="B380" s="105">
        <v>472</v>
      </c>
      <c r="D380" s="95" t="s">
        <v>797</v>
      </c>
      <c r="E380" s="106" t="s">
        <v>1048</v>
      </c>
    </row>
    <row r="381" spans="1:6" ht="24">
      <c r="B381" s="105">
        <v>473</v>
      </c>
      <c r="D381" s="95" t="s">
        <v>672</v>
      </c>
      <c r="E381" s="106" t="s">
        <v>113</v>
      </c>
    </row>
    <row r="382" spans="1:6">
      <c r="B382" s="105">
        <v>474</v>
      </c>
      <c r="D382" s="95" t="s">
        <v>269</v>
      </c>
      <c r="E382" s="106" t="s">
        <v>1057</v>
      </c>
    </row>
    <row r="383" spans="1:6">
      <c r="B383" s="105">
        <v>475</v>
      </c>
      <c r="D383" s="95" t="s">
        <v>933</v>
      </c>
      <c r="E383" s="106" t="s">
        <v>1090</v>
      </c>
    </row>
    <row r="384" spans="1:6">
      <c r="B384" s="105">
        <v>476</v>
      </c>
      <c r="D384" s="95" t="s">
        <v>514</v>
      </c>
      <c r="E384" s="106" t="s">
        <v>1208</v>
      </c>
    </row>
    <row r="385" spans="2:5">
      <c r="B385" s="105">
        <v>477</v>
      </c>
      <c r="D385" s="95" t="s">
        <v>871</v>
      </c>
      <c r="E385" s="106" t="s">
        <v>751</v>
      </c>
    </row>
    <row r="386" spans="2:5">
      <c r="B386" s="105">
        <v>478</v>
      </c>
      <c r="D386" s="95" t="s">
        <v>841</v>
      </c>
      <c r="E386" s="106" t="s">
        <v>754</v>
      </c>
    </row>
    <row r="387" spans="2:5">
      <c r="B387" s="105">
        <v>479</v>
      </c>
      <c r="D387" s="95" t="s">
        <v>351</v>
      </c>
      <c r="E387" s="106" t="s">
        <v>750</v>
      </c>
    </row>
    <row r="388" spans="2:5">
      <c r="B388" s="105">
        <v>480</v>
      </c>
      <c r="D388" s="95" t="s">
        <v>532</v>
      </c>
      <c r="E388" s="106" t="s">
        <v>532</v>
      </c>
    </row>
    <row r="389" spans="2:5">
      <c r="B389" s="105">
        <v>481</v>
      </c>
      <c r="D389" s="95" t="s">
        <v>448</v>
      </c>
      <c r="E389" s="106" t="s">
        <v>1170</v>
      </c>
    </row>
    <row r="390" spans="2:5" ht="24">
      <c r="B390" s="105">
        <v>482</v>
      </c>
      <c r="D390" s="95" t="s">
        <v>127</v>
      </c>
      <c r="E390" s="106" t="s">
        <v>641</v>
      </c>
    </row>
    <row r="391" spans="2:5">
      <c r="B391" s="105">
        <v>483</v>
      </c>
      <c r="D391" s="95" t="s">
        <v>915</v>
      </c>
      <c r="E391" s="106" t="s">
        <v>915</v>
      </c>
    </row>
    <row r="392" spans="2:5">
      <c r="B392" s="105">
        <v>484</v>
      </c>
      <c r="D392" s="95" t="s">
        <v>236</v>
      </c>
    </row>
    <row r="393" spans="2:5">
      <c r="B393" s="105">
        <v>485</v>
      </c>
      <c r="D393" s="95" t="s">
        <v>540</v>
      </c>
      <c r="E393" s="106" t="s">
        <v>590</v>
      </c>
    </row>
    <row r="394" spans="2:5">
      <c r="B394" s="105">
        <v>486</v>
      </c>
      <c r="D394" s="95" t="s">
        <v>1001</v>
      </c>
      <c r="E394" s="106" t="s">
        <v>574</v>
      </c>
    </row>
    <row r="395" spans="2:5">
      <c r="B395" s="105">
        <v>487</v>
      </c>
      <c r="D395" s="95" t="s">
        <v>716</v>
      </c>
      <c r="E395" s="106" t="s">
        <v>1063</v>
      </c>
    </row>
    <row r="396" spans="2:5">
      <c r="B396" s="105">
        <v>488</v>
      </c>
      <c r="D396" s="95" t="s">
        <v>992</v>
      </c>
      <c r="E396" s="106" t="s">
        <v>574</v>
      </c>
    </row>
    <row r="397" spans="2:5">
      <c r="B397" s="105">
        <v>489</v>
      </c>
      <c r="D397" s="95" t="s">
        <v>936</v>
      </c>
      <c r="E397" s="106" t="s">
        <v>566</v>
      </c>
    </row>
    <row r="398" spans="2:5">
      <c r="B398" s="105">
        <v>490</v>
      </c>
      <c r="D398" s="95" t="s">
        <v>414</v>
      </c>
      <c r="E398" s="106" t="s">
        <v>383</v>
      </c>
    </row>
    <row r="399" spans="2:5">
      <c r="B399" s="105">
        <v>491</v>
      </c>
      <c r="D399" s="95" t="s">
        <v>14</v>
      </c>
      <c r="E399" s="106" t="s">
        <v>461</v>
      </c>
    </row>
    <row r="400" spans="2:5">
      <c r="B400" s="105">
        <v>492</v>
      </c>
      <c r="D400" s="95" t="s">
        <v>975</v>
      </c>
      <c r="E400" s="106" t="s">
        <v>605</v>
      </c>
    </row>
    <row r="401" spans="1:6">
      <c r="B401" s="105">
        <v>493</v>
      </c>
      <c r="D401" s="95" t="s">
        <v>425</v>
      </c>
    </row>
    <row r="402" spans="1:6">
      <c r="B402" s="105">
        <v>494</v>
      </c>
      <c r="D402" s="95" t="s">
        <v>848</v>
      </c>
    </row>
    <row r="403" spans="1:6">
      <c r="B403" s="105">
        <v>495</v>
      </c>
      <c r="D403" s="95" t="s">
        <v>238</v>
      </c>
      <c r="E403" s="106" t="s">
        <v>1217</v>
      </c>
    </row>
    <row r="404" spans="1:6">
      <c r="B404" s="105">
        <v>496</v>
      </c>
      <c r="D404" s="95" t="s">
        <v>440</v>
      </c>
      <c r="E404" s="106" t="s">
        <v>1218</v>
      </c>
    </row>
    <row r="405" spans="1:6">
      <c r="B405" s="105">
        <v>497</v>
      </c>
      <c r="D405" s="95" t="s">
        <v>852</v>
      </c>
      <c r="E405" s="106" t="s">
        <v>1216</v>
      </c>
    </row>
    <row r="406" spans="1:6">
      <c r="B406" s="105">
        <v>498</v>
      </c>
      <c r="D406" s="95" t="s">
        <v>444</v>
      </c>
      <c r="E406" s="106" t="s">
        <v>1219</v>
      </c>
    </row>
    <row r="407" spans="1:6">
      <c r="B407" s="105">
        <v>499</v>
      </c>
      <c r="D407" s="95" t="s">
        <v>842</v>
      </c>
      <c r="E407" s="106" t="s">
        <v>1216</v>
      </c>
    </row>
    <row r="408" spans="1:6" ht="25.5">
      <c r="A408" s="100"/>
      <c r="B408" s="105">
        <v>500</v>
      </c>
      <c r="C408" s="100"/>
      <c r="D408" s="100" t="s">
        <v>627</v>
      </c>
      <c r="E408" s="100" t="s">
        <v>650</v>
      </c>
      <c r="F408" s="101"/>
    </row>
    <row r="409" spans="1:6">
      <c r="B409" s="105">
        <v>501</v>
      </c>
      <c r="D409" s="95" t="s">
        <v>836</v>
      </c>
      <c r="E409" s="106" t="s">
        <v>836</v>
      </c>
    </row>
    <row r="410" spans="1:6">
      <c r="B410" s="105">
        <v>502</v>
      </c>
      <c r="D410" s="95" t="s">
        <v>1163</v>
      </c>
      <c r="E410" s="106" t="s">
        <v>503</v>
      </c>
    </row>
    <row r="411" spans="1:6">
      <c r="B411" s="105">
        <v>503</v>
      </c>
      <c r="D411" s="95" t="s">
        <v>676</v>
      </c>
      <c r="E411" s="106" t="s">
        <v>75</v>
      </c>
    </row>
    <row r="412" spans="1:6">
      <c r="B412" s="105">
        <v>504</v>
      </c>
      <c r="D412" s="95" t="s">
        <v>700</v>
      </c>
      <c r="E412" s="106" t="s">
        <v>78</v>
      </c>
    </row>
    <row r="413" spans="1:6">
      <c r="B413" s="105">
        <v>505</v>
      </c>
      <c r="D413" s="95" t="s">
        <v>513</v>
      </c>
      <c r="E413" s="106" t="s">
        <v>216</v>
      </c>
    </row>
    <row r="414" spans="1:6">
      <c r="B414" s="105">
        <v>506</v>
      </c>
      <c r="D414" s="95" t="s">
        <v>85</v>
      </c>
      <c r="E414" s="106" t="s">
        <v>1155</v>
      </c>
    </row>
    <row r="415" spans="1:6">
      <c r="B415" s="105">
        <v>507</v>
      </c>
      <c r="D415" s="95" t="s">
        <v>653</v>
      </c>
      <c r="E415" s="106" t="s">
        <v>876</v>
      </c>
    </row>
    <row r="416" spans="1:6">
      <c r="B416" s="105">
        <v>508</v>
      </c>
      <c r="D416" s="95" t="s">
        <v>633</v>
      </c>
      <c r="E416" s="106" t="s">
        <v>35</v>
      </c>
    </row>
    <row r="417" spans="1:6" ht="24">
      <c r="B417" s="105">
        <v>509</v>
      </c>
      <c r="D417" s="95" t="s">
        <v>146</v>
      </c>
      <c r="E417" s="106" t="s">
        <v>87</v>
      </c>
    </row>
    <row r="418" spans="1:6">
      <c r="B418" s="105">
        <v>510</v>
      </c>
      <c r="D418" s="95" t="s">
        <v>175</v>
      </c>
      <c r="E418" s="106" t="s">
        <v>876</v>
      </c>
    </row>
    <row r="419" spans="1:6">
      <c r="B419" s="105">
        <v>511</v>
      </c>
      <c r="D419" s="95" t="s">
        <v>364</v>
      </c>
      <c r="E419" s="106" t="s">
        <v>765</v>
      </c>
    </row>
    <row r="420" spans="1:6">
      <c r="B420" s="105">
        <v>512</v>
      </c>
      <c r="D420" s="95" t="s">
        <v>1179</v>
      </c>
      <c r="E420" s="106" t="s">
        <v>824</v>
      </c>
    </row>
    <row r="421" spans="1:6">
      <c r="B421" s="105">
        <v>513</v>
      </c>
      <c r="D421" s="95" t="s">
        <v>164</v>
      </c>
      <c r="E421" s="106" t="s">
        <v>827</v>
      </c>
    </row>
    <row r="422" spans="1:6" s="100" customFormat="1" ht="12.75">
      <c r="A422" s="94"/>
      <c r="B422" s="105">
        <v>514</v>
      </c>
      <c r="C422" s="102"/>
      <c r="D422" s="95" t="s">
        <v>1192</v>
      </c>
      <c r="E422" s="106" t="s">
        <v>821</v>
      </c>
      <c r="F422" s="94"/>
    </row>
    <row r="423" spans="1:6" s="100" customFormat="1" ht="12.75">
      <c r="A423" s="94"/>
      <c r="B423" s="105">
        <v>515</v>
      </c>
      <c r="C423" s="102"/>
      <c r="D423" s="95" t="s">
        <v>313</v>
      </c>
      <c r="E423" s="106" t="s">
        <v>90</v>
      </c>
      <c r="F423" s="94"/>
    </row>
    <row r="424" spans="1:6" s="97" customFormat="1">
      <c r="A424" s="94"/>
      <c r="B424" s="105">
        <v>516</v>
      </c>
      <c r="C424" s="102"/>
      <c r="D424" s="95" t="s">
        <v>159</v>
      </c>
      <c r="E424" s="106" t="s">
        <v>1155</v>
      </c>
      <c r="F424" s="94"/>
    </row>
    <row r="425" spans="1:6" s="97" customFormat="1" ht="24">
      <c r="A425" s="94"/>
      <c r="B425" s="105">
        <v>517</v>
      </c>
      <c r="C425" s="102"/>
      <c r="D425" s="95" t="s">
        <v>178</v>
      </c>
      <c r="E425" s="106" t="s">
        <v>129</v>
      </c>
      <c r="F425" s="94"/>
    </row>
    <row r="426" spans="1:6" s="97" customFormat="1" ht="36">
      <c r="A426" s="94"/>
      <c r="B426" s="105">
        <v>518</v>
      </c>
      <c r="C426" s="102"/>
      <c r="D426" s="95" t="s">
        <v>0</v>
      </c>
      <c r="E426" s="106" t="s">
        <v>48</v>
      </c>
      <c r="F426" s="94"/>
    </row>
    <row r="427" spans="1:6" s="97" customFormat="1">
      <c r="A427" s="94"/>
      <c r="B427" s="105">
        <v>519</v>
      </c>
      <c r="C427" s="102"/>
      <c r="D427" s="95" t="s">
        <v>510</v>
      </c>
      <c r="E427" s="106" t="s">
        <v>320</v>
      </c>
      <c r="F427" s="94"/>
    </row>
    <row r="428" spans="1:6" s="97" customFormat="1" ht="36">
      <c r="A428" s="94"/>
      <c r="B428" s="105">
        <v>520</v>
      </c>
      <c r="C428" s="102"/>
      <c r="D428" s="95" t="s">
        <v>70</v>
      </c>
      <c r="E428" s="106" t="s">
        <v>143</v>
      </c>
      <c r="F428" s="94"/>
    </row>
    <row r="429" spans="1:6" s="97" customFormat="1">
      <c r="A429" s="94"/>
      <c r="B429" s="105">
        <v>521</v>
      </c>
      <c r="C429" s="102"/>
      <c r="D429" s="95" t="s">
        <v>679</v>
      </c>
      <c r="E429" s="106" t="s">
        <v>32</v>
      </c>
      <c r="F429" s="94"/>
    </row>
    <row r="430" spans="1:6" s="97" customFormat="1">
      <c r="A430" s="94"/>
      <c r="B430" s="105">
        <v>522</v>
      </c>
      <c r="C430" s="102"/>
      <c r="D430" s="95" t="s">
        <v>1174</v>
      </c>
      <c r="E430" s="106" t="s">
        <v>303</v>
      </c>
      <c r="F430" s="94"/>
    </row>
    <row r="431" spans="1:6" s="97" customFormat="1">
      <c r="A431" s="94"/>
      <c r="B431" s="105">
        <v>523</v>
      </c>
      <c r="C431" s="102"/>
      <c r="D431" s="95" t="s">
        <v>39</v>
      </c>
      <c r="E431" s="106" t="s">
        <v>1157</v>
      </c>
      <c r="F431" s="94"/>
    </row>
    <row r="432" spans="1:6" s="97" customFormat="1">
      <c r="A432" s="94"/>
      <c r="B432" s="105">
        <v>524</v>
      </c>
      <c r="C432" s="102"/>
      <c r="D432" s="95" t="s">
        <v>28</v>
      </c>
      <c r="E432" s="106" t="s">
        <v>1152</v>
      </c>
      <c r="F432" s="94"/>
    </row>
    <row r="433" spans="1:6" s="97" customFormat="1">
      <c r="A433" s="94"/>
      <c r="B433" s="105">
        <v>525</v>
      </c>
      <c r="C433" s="102"/>
      <c r="D433" s="95" t="s">
        <v>29</v>
      </c>
      <c r="E433" s="106" t="s">
        <v>213</v>
      </c>
      <c r="F433" s="94"/>
    </row>
    <row r="434" spans="1:6" s="97" customFormat="1">
      <c r="A434" s="94"/>
      <c r="B434" s="105">
        <v>526</v>
      </c>
      <c r="C434" s="102"/>
      <c r="D434" s="95" t="s">
        <v>696</v>
      </c>
      <c r="E434" s="106" t="s">
        <v>348</v>
      </c>
      <c r="F434" s="94"/>
    </row>
    <row r="435" spans="1:6">
      <c r="B435" s="105">
        <v>527</v>
      </c>
      <c r="D435" s="95" t="s">
        <v>760</v>
      </c>
      <c r="E435" s="106" t="s">
        <v>759</v>
      </c>
    </row>
  </sheetData>
  <sortState xmlns:xlrd2="http://schemas.microsoft.com/office/spreadsheetml/2017/richdata2" ref="A9:F434">
    <sortCondition ref="E9:E434"/>
  </sortState>
  <phoneticPr fontId="40" type="noConversion"/>
  <pageMargins left="0.69972223043441772" right="0.69972223043441772" top="0.75" bottom="0.75" header="0.30000001192092896" footer="0.30000001192092896"/>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21"/>
  <sheetViews>
    <sheetView topLeftCell="A94" zoomScale="85" zoomScaleNormal="85" zoomScaleSheetLayoutView="75" workbookViewId="0">
      <selection activeCell="H177" sqref="H177"/>
    </sheetView>
  </sheetViews>
  <sheetFormatPr defaultColWidth="9.75" defaultRowHeight="14.25"/>
  <cols>
    <col min="1" max="1" width="9.75" style="73"/>
    <col min="2" max="2" width="9.75" style="74"/>
    <col min="3" max="4" width="9.75" style="75"/>
    <col min="5" max="5" width="9.75" style="74"/>
    <col min="6" max="16384" width="9.75" style="72"/>
  </cols>
  <sheetData>
    <row r="1" spans="1:8">
      <c r="A1" s="70" t="s">
        <v>525</v>
      </c>
      <c r="B1" s="70" t="s">
        <v>919</v>
      </c>
      <c r="C1" s="71" t="s">
        <v>806</v>
      </c>
      <c r="D1" s="71" t="s">
        <v>968</v>
      </c>
      <c r="E1" s="70" t="s">
        <v>991</v>
      </c>
      <c r="F1" s="70" t="s">
        <v>415</v>
      </c>
      <c r="G1" s="70" t="s">
        <v>432</v>
      </c>
      <c r="H1" s="70" t="s">
        <v>807</v>
      </c>
    </row>
    <row r="2" spans="1:8">
      <c r="A2" s="73" t="s">
        <v>985</v>
      </c>
      <c r="B2" s="74" t="s">
        <v>942</v>
      </c>
      <c r="C2" s="75" t="s">
        <v>564</v>
      </c>
      <c r="D2" s="75">
        <v>43375</v>
      </c>
      <c r="E2" s="76">
        <v>43376</v>
      </c>
      <c r="F2" s="75">
        <v>43375</v>
      </c>
      <c r="G2" s="75">
        <v>43379</v>
      </c>
      <c r="H2" s="72">
        <v>1</v>
      </c>
    </row>
    <row r="3" spans="1:8">
      <c r="A3" s="73" t="s">
        <v>986</v>
      </c>
      <c r="B3" s="74" t="s">
        <v>805</v>
      </c>
      <c r="C3" s="75" t="s">
        <v>564</v>
      </c>
      <c r="D3" s="75">
        <v>43379</v>
      </c>
      <c r="E3" s="76">
        <v>43385</v>
      </c>
      <c r="F3" s="75">
        <v>43375</v>
      </c>
      <c r="G3" s="75">
        <v>43379</v>
      </c>
      <c r="H3" s="72">
        <v>0</v>
      </c>
    </row>
    <row r="4" spans="1:8">
      <c r="A4" s="73" t="s">
        <v>986</v>
      </c>
      <c r="B4" s="74" t="s">
        <v>805</v>
      </c>
      <c r="C4" s="75" t="s">
        <v>527</v>
      </c>
      <c r="D4" s="75">
        <v>43379</v>
      </c>
      <c r="E4" s="76">
        <v>43385</v>
      </c>
      <c r="F4" s="75">
        <v>43375</v>
      </c>
      <c r="G4" s="75">
        <v>43379</v>
      </c>
      <c r="H4" s="72">
        <v>0</v>
      </c>
    </row>
    <row r="5" spans="1:8">
      <c r="A5" s="73" t="s">
        <v>986</v>
      </c>
      <c r="B5" s="74" t="s">
        <v>805</v>
      </c>
      <c r="C5" s="75" t="s">
        <v>610</v>
      </c>
      <c r="D5" s="75">
        <v>43379</v>
      </c>
      <c r="E5" s="76">
        <v>43385</v>
      </c>
      <c r="F5" s="75">
        <v>43375</v>
      </c>
      <c r="G5" s="75">
        <v>43379</v>
      </c>
      <c r="H5" s="72">
        <v>0</v>
      </c>
    </row>
    <row r="6" spans="1:8">
      <c r="A6" s="73" t="s">
        <v>986</v>
      </c>
      <c r="B6" s="74" t="s">
        <v>805</v>
      </c>
      <c r="C6" s="75" t="s">
        <v>564</v>
      </c>
      <c r="D6" s="75">
        <v>43379</v>
      </c>
      <c r="E6" s="76">
        <v>43385</v>
      </c>
      <c r="F6" s="75">
        <v>43380</v>
      </c>
      <c r="G6" s="75">
        <v>43386</v>
      </c>
      <c r="H6" s="72">
        <v>1.3333333333333333</v>
      </c>
    </row>
    <row r="7" spans="1:8">
      <c r="A7" s="73" t="s">
        <v>986</v>
      </c>
      <c r="B7" s="74" t="s">
        <v>805</v>
      </c>
      <c r="C7" s="75" t="s">
        <v>527</v>
      </c>
      <c r="D7" s="75">
        <v>43379</v>
      </c>
      <c r="E7" s="76">
        <v>43385</v>
      </c>
      <c r="F7" s="75">
        <v>43380</v>
      </c>
      <c r="G7" s="75">
        <v>43386</v>
      </c>
      <c r="H7" s="72">
        <v>1.3333333333333333</v>
      </c>
    </row>
    <row r="8" spans="1:8">
      <c r="A8" s="73" t="s">
        <v>986</v>
      </c>
      <c r="B8" s="74" t="s">
        <v>805</v>
      </c>
      <c r="C8" s="75" t="s">
        <v>610</v>
      </c>
      <c r="D8" s="75">
        <v>43379</v>
      </c>
      <c r="E8" s="76">
        <v>43385</v>
      </c>
      <c r="F8" s="75">
        <v>43380</v>
      </c>
      <c r="G8" s="75">
        <v>43386</v>
      </c>
      <c r="H8" s="72">
        <v>1.3333333333333333</v>
      </c>
    </row>
    <row r="9" spans="1:8">
      <c r="A9" s="73" t="s">
        <v>996</v>
      </c>
      <c r="B9" s="74" t="s">
        <v>245</v>
      </c>
      <c r="C9" s="75" t="s">
        <v>564</v>
      </c>
      <c r="D9" s="75">
        <v>43397</v>
      </c>
      <c r="E9" s="76">
        <v>43397</v>
      </c>
      <c r="F9" s="75">
        <v>43394</v>
      </c>
      <c r="G9" s="75">
        <v>43400</v>
      </c>
      <c r="H9" s="72">
        <v>1</v>
      </c>
    </row>
    <row r="10" spans="1:8">
      <c r="A10" s="73" t="s">
        <v>957</v>
      </c>
      <c r="B10" s="74" t="s">
        <v>1006</v>
      </c>
      <c r="C10" s="75" t="s">
        <v>527</v>
      </c>
      <c r="D10" s="75">
        <v>43400</v>
      </c>
      <c r="E10" s="76">
        <v>43404</v>
      </c>
      <c r="F10" s="75">
        <v>43394</v>
      </c>
      <c r="G10" s="75">
        <v>43400</v>
      </c>
      <c r="H10" s="72">
        <v>0</v>
      </c>
    </row>
    <row r="11" spans="1:8">
      <c r="A11" s="73" t="s">
        <v>957</v>
      </c>
      <c r="B11" s="74" t="s">
        <v>1006</v>
      </c>
      <c r="C11" s="75" t="s">
        <v>527</v>
      </c>
      <c r="D11" s="75">
        <v>43400</v>
      </c>
      <c r="E11" s="76">
        <v>43404</v>
      </c>
      <c r="F11" s="75">
        <v>43401</v>
      </c>
      <c r="G11" s="75">
        <v>43407</v>
      </c>
      <c r="H11" s="72">
        <v>3</v>
      </c>
    </row>
    <row r="12" spans="1:8">
      <c r="A12" s="73" t="s">
        <v>960</v>
      </c>
      <c r="B12" s="74" t="s">
        <v>995</v>
      </c>
      <c r="C12" s="75" t="s">
        <v>527</v>
      </c>
      <c r="D12" s="75">
        <v>43432</v>
      </c>
      <c r="E12" s="76">
        <v>43432</v>
      </c>
      <c r="F12" s="75">
        <v>43429</v>
      </c>
      <c r="G12" s="75">
        <v>43435</v>
      </c>
      <c r="H12" s="72">
        <v>1</v>
      </c>
    </row>
    <row r="13" spans="1:8">
      <c r="A13" s="73" t="s">
        <v>951</v>
      </c>
      <c r="B13" s="74" t="s">
        <v>1000</v>
      </c>
      <c r="C13" s="75" t="s">
        <v>770</v>
      </c>
      <c r="D13" s="75">
        <v>43468</v>
      </c>
      <c r="E13" s="76">
        <v>43493</v>
      </c>
      <c r="F13" s="75">
        <v>43464</v>
      </c>
      <c r="G13" s="75">
        <v>43470</v>
      </c>
      <c r="H13" s="72">
        <v>2</v>
      </c>
    </row>
    <row r="14" spans="1:8">
      <c r="A14" s="73" t="s">
        <v>951</v>
      </c>
      <c r="B14" s="74" t="s">
        <v>1000</v>
      </c>
      <c r="C14" s="75" t="s">
        <v>770</v>
      </c>
      <c r="D14" s="75">
        <v>43468</v>
      </c>
      <c r="E14" s="76">
        <v>43493</v>
      </c>
      <c r="F14" s="75">
        <v>43471</v>
      </c>
      <c r="G14" s="75">
        <v>43477</v>
      </c>
      <c r="H14" s="72">
        <v>5</v>
      </c>
    </row>
    <row r="15" spans="1:8">
      <c r="A15" s="73" t="s">
        <v>951</v>
      </c>
      <c r="B15" s="74" t="s">
        <v>1000</v>
      </c>
      <c r="C15" s="75" t="s">
        <v>770</v>
      </c>
      <c r="D15" s="75">
        <v>43468</v>
      </c>
      <c r="E15" s="76">
        <v>43493</v>
      </c>
      <c r="F15" s="75">
        <v>43478</v>
      </c>
      <c r="G15" s="75">
        <v>43484</v>
      </c>
      <c r="H15" s="72">
        <v>5</v>
      </c>
    </row>
    <row r="16" spans="1:8">
      <c r="A16" s="73" t="s">
        <v>951</v>
      </c>
      <c r="B16" s="74" t="s">
        <v>1000</v>
      </c>
      <c r="C16" s="75" t="s">
        <v>770</v>
      </c>
      <c r="D16" s="75">
        <v>43468</v>
      </c>
      <c r="E16" s="76">
        <v>43493</v>
      </c>
      <c r="F16" s="75">
        <v>43485</v>
      </c>
      <c r="G16" s="75">
        <v>43491</v>
      </c>
      <c r="H16" s="72">
        <v>5</v>
      </c>
    </row>
    <row r="17" spans="1:8">
      <c r="A17" s="73" t="s">
        <v>951</v>
      </c>
      <c r="B17" s="74" t="s">
        <v>1000</v>
      </c>
      <c r="C17" s="75" t="s">
        <v>770</v>
      </c>
      <c r="D17" s="75">
        <v>43468</v>
      </c>
      <c r="E17" s="76">
        <v>43493</v>
      </c>
      <c r="F17" s="75">
        <v>43492</v>
      </c>
      <c r="G17" s="75">
        <v>43498</v>
      </c>
      <c r="H17" s="72">
        <v>1</v>
      </c>
    </row>
    <row r="18" spans="1:8">
      <c r="A18" s="73" t="s">
        <v>987</v>
      </c>
      <c r="B18" s="74" t="s">
        <v>1022</v>
      </c>
      <c r="C18" s="75" t="s">
        <v>770</v>
      </c>
      <c r="D18" s="75">
        <v>43397</v>
      </c>
      <c r="E18" s="76">
        <v>43397</v>
      </c>
      <c r="F18" s="75">
        <v>43394</v>
      </c>
      <c r="G18" s="75">
        <v>43400</v>
      </c>
      <c r="H18" s="72">
        <v>1</v>
      </c>
    </row>
    <row r="19" spans="1:8">
      <c r="A19" s="73" t="s">
        <v>946</v>
      </c>
      <c r="B19" s="74" t="s">
        <v>1005</v>
      </c>
      <c r="C19" s="75" t="s">
        <v>564</v>
      </c>
      <c r="D19" s="75">
        <v>43501</v>
      </c>
      <c r="E19" s="76">
        <v>43505</v>
      </c>
      <c r="F19" s="75">
        <v>43499</v>
      </c>
      <c r="G19" s="75">
        <v>43505</v>
      </c>
      <c r="H19" s="72">
        <v>2</v>
      </c>
    </row>
    <row r="20" spans="1:8">
      <c r="A20" s="73" t="s">
        <v>928</v>
      </c>
      <c r="B20" s="74" t="s">
        <v>809</v>
      </c>
      <c r="C20" s="75" t="s">
        <v>564</v>
      </c>
      <c r="D20" s="75">
        <v>43508</v>
      </c>
      <c r="E20" s="76">
        <v>43526</v>
      </c>
      <c r="F20" s="75">
        <v>43506</v>
      </c>
      <c r="G20" s="75">
        <v>43512</v>
      </c>
      <c r="H20" s="72">
        <v>4</v>
      </c>
    </row>
    <row r="21" spans="1:8">
      <c r="A21" s="73" t="s">
        <v>928</v>
      </c>
      <c r="B21" s="74" t="s">
        <v>809</v>
      </c>
      <c r="C21" s="75" t="s">
        <v>564</v>
      </c>
      <c r="D21" s="75">
        <v>43508</v>
      </c>
      <c r="E21" s="76">
        <v>43526</v>
      </c>
      <c r="F21" s="75">
        <v>43513</v>
      </c>
      <c r="G21" s="75">
        <v>43519</v>
      </c>
      <c r="H21" s="72">
        <v>5</v>
      </c>
    </row>
    <row r="22" spans="1:8">
      <c r="A22" s="73" t="s">
        <v>928</v>
      </c>
      <c r="B22" s="74" t="s">
        <v>809</v>
      </c>
      <c r="C22" s="75" t="s">
        <v>564</v>
      </c>
      <c r="D22" s="75">
        <v>43508</v>
      </c>
      <c r="E22" s="76">
        <v>43526</v>
      </c>
      <c r="F22" s="75">
        <v>43520</v>
      </c>
      <c r="G22" s="75">
        <v>43526</v>
      </c>
      <c r="H22" s="72">
        <v>4</v>
      </c>
    </row>
    <row r="23" spans="1:8">
      <c r="A23" s="73" t="s">
        <v>941</v>
      </c>
      <c r="B23" s="74" t="s">
        <v>989</v>
      </c>
      <c r="C23" s="75" t="s">
        <v>564</v>
      </c>
      <c r="D23" s="75">
        <v>43526</v>
      </c>
      <c r="E23" s="76">
        <v>43526</v>
      </c>
      <c r="F23" s="75">
        <v>43520</v>
      </c>
      <c r="G23" s="75">
        <v>43526</v>
      </c>
      <c r="H23" s="72">
        <v>0</v>
      </c>
    </row>
    <row r="24" spans="1:8">
      <c r="A24" s="73" t="s">
        <v>969</v>
      </c>
      <c r="B24" s="74" t="s">
        <v>973</v>
      </c>
      <c r="C24" s="75" t="s">
        <v>564</v>
      </c>
      <c r="D24" s="75">
        <v>43526</v>
      </c>
      <c r="E24" s="76">
        <v>43526</v>
      </c>
      <c r="F24" s="75">
        <v>43520</v>
      </c>
      <c r="G24" s="75">
        <v>43526</v>
      </c>
      <c r="H24" s="72">
        <v>0</v>
      </c>
    </row>
    <row r="25" spans="1:8">
      <c r="A25" s="73" t="s">
        <v>1018</v>
      </c>
      <c r="B25" s="74" t="s">
        <v>984</v>
      </c>
      <c r="C25" s="75" t="s">
        <v>614</v>
      </c>
      <c r="D25" s="75">
        <v>43379</v>
      </c>
      <c r="E25" s="76">
        <v>43397</v>
      </c>
      <c r="F25" s="75">
        <v>43375</v>
      </c>
      <c r="G25" s="75">
        <v>43379</v>
      </c>
      <c r="H25" s="72">
        <v>0</v>
      </c>
    </row>
    <row r="26" spans="1:8">
      <c r="A26" s="73" t="s">
        <v>1018</v>
      </c>
      <c r="B26" s="74" t="s">
        <v>984</v>
      </c>
      <c r="C26" s="75" t="s">
        <v>576</v>
      </c>
      <c r="D26" s="75">
        <v>43379</v>
      </c>
      <c r="E26" s="76">
        <v>43397</v>
      </c>
      <c r="F26" s="75">
        <v>43375</v>
      </c>
      <c r="G26" s="75">
        <v>43379</v>
      </c>
      <c r="H26" s="72">
        <v>0</v>
      </c>
    </row>
    <row r="27" spans="1:8">
      <c r="A27" s="73" t="s">
        <v>1018</v>
      </c>
      <c r="B27" s="74" t="s">
        <v>984</v>
      </c>
      <c r="C27" s="75" t="s">
        <v>598</v>
      </c>
      <c r="D27" s="75">
        <v>43379</v>
      </c>
      <c r="E27" s="76">
        <v>43397</v>
      </c>
      <c r="F27" s="75">
        <v>43375</v>
      </c>
      <c r="G27" s="75">
        <v>43379</v>
      </c>
      <c r="H27" s="72">
        <v>0</v>
      </c>
    </row>
    <row r="28" spans="1:8">
      <c r="A28" s="73" t="s">
        <v>1018</v>
      </c>
      <c r="B28" s="74" t="s">
        <v>984</v>
      </c>
      <c r="C28" s="75" t="s">
        <v>614</v>
      </c>
      <c r="D28" s="75">
        <v>43379</v>
      </c>
      <c r="E28" s="76">
        <v>43397</v>
      </c>
      <c r="F28" s="75">
        <v>43380</v>
      </c>
      <c r="G28" s="75">
        <v>43386</v>
      </c>
      <c r="H28" s="72">
        <v>1.3333333333333333</v>
      </c>
    </row>
    <row r="29" spans="1:8">
      <c r="A29" s="73" t="s">
        <v>1018</v>
      </c>
      <c r="B29" s="74" t="s">
        <v>984</v>
      </c>
      <c r="C29" s="75" t="s">
        <v>576</v>
      </c>
      <c r="D29" s="75">
        <v>43379</v>
      </c>
      <c r="E29" s="76">
        <v>43397</v>
      </c>
      <c r="F29" s="75">
        <v>43380</v>
      </c>
      <c r="G29" s="75">
        <v>43386</v>
      </c>
      <c r="H29" s="72">
        <v>1.3333333333333333</v>
      </c>
    </row>
    <row r="30" spans="1:8">
      <c r="A30" s="73" t="s">
        <v>1018</v>
      </c>
      <c r="B30" s="74" t="s">
        <v>984</v>
      </c>
      <c r="C30" s="75" t="s">
        <v>598</v>
      </c>
      <c r="D30" s="75">
        <v>43379</v>
      </c>
      <c r="E30" s="76">
        <v>43397</v>
      </c>
      <c r="F30" s="75">
        <v>43380</v>
      </c>
      <c r="G30" s="75">
        <v>43386</v>
      </c>
      <c r="H30" s="72">
        <v>1.3333333333333333</v>
      </c>
    </row>
    <row r="31" spans="1:8">
      <c r="A31" s="73" t="s">
        <v>1018</v>
      </c>
      <c r="B31" s="74" t="s">
        <v>984</v>
      </c>
      <c r="C31" s="75" t="s">
        <v>614</v>
      </c>
      <c r="D31" s="75">
        <v>43379</v>
      </c>
      <c r="E31" s="76">
        <v>43397</v>
      </c>
      <c r="F31" s="75">
        <v>43387</v>
      </c>
      <c r="G31" s="75">
        <v>43393</v>
      </c>
      <c r="H31" s="72">
        <v>1.6666666666666667</v>
      </c>
    </row>
    <row r="32" spans="1:8">
      <c r="A32" s="73" t="s">
        <v>1018</v>
      </c>
      <c r="B32" s="74" t="s">
        <v>984</v>
      </c>
      <c r="C32" s="75" t="s">
        <v>576</v>
      </c>
      <c r="D32" s="75">
        <v>43379</v>
      </c>
      <c r="E32" s="76">
        <v>43397</v>
      </c>
      <c r="F32" s="75">
        <v>43387</v>
      </c>
      <c r="G32" s="75">
        <v>43393</v>
      </c>
      <c r="H32" s="72">
        <v>1.6666666666666667</v>
      </c>
    </row>
    <row r="33" spans="1:8">
      <c r="A33" s="73" t="s">
        <v>1018</v>
      </c>
      <c r="B33" s="74" t="s">
        <v>984</v>
      </c>
      <c r="C33" s="75" t="s">
        <v>598</v>
      </c>
      <c r="D33" s="75">
        <v>43379</v>
      </c>
      <c r="E33" s="76">
        <v>43397</v>
      </c>
      <c r="F33" s="75">
        <v>43387</v>
      </c>
      <c r="G33" s="75">
        <v>43393</v>
      </c>
      <c r="H33" s="72">
        <v>1.6666666666666667</v>
      </c>
    </row>
    <row r="34" spans="1:8">
      <c r="A34" s="73" t="s">
        <v>1018</v>
      </c>
      <c r="B34" s="74" t="s">
        <v>984</v>
      </c>
      <c r="C34" s="75" t="s">
        <v>614</v>
      </c>
      <c r="D34" s="75">
        <v>43379</v>
      </c>
      <c r="E34" s="76">
        <v>43397</v>
      </c>
      <c r="F34" s="75">
        <v>43394</v>
      </c>
      <c r="G34" s="75">
        <v>43400</v>
      </c>
      <c r="H34" s="72">
        <v>1</v>
      </c>
    </row>
    <row r="35" spans="1:8">
      <c r="A35" s="73" t="s">
        <v>1018</v>
      </c>
      <c r="B35" s="74" t="s">
        <v>984</v>
      </c>
      <c r="C35" s="75" t="s">
        <v>576</v>
      </c>
      <c r="D35" s="75">
        <v>43379</v>
      </c>
      <c r="E35" s="76">
        <v>43397</v>
      </c>
      <c r="F35" s="75">
        <v>43394</v>
      </c>
      <c r="G35" s="75">
        <v>43400</v>
      </c>
      <c r="H35" s="72">
        <v>1</v>
      </c>
    </row>
    <row r="36" spans="1:8">
      <c r="A36" s="73" t="s">
        <v>1018</v>
      </c>
      <c r="B36" s="74" t="s">
        <v>984</v>
      </c>
      <c r="C36" s="75" t="s">
        <v>598</v>
      </c>
      <c r="D36" s="75">
        <v>43379</v>
      </c>
      <c r="E36" s="76">
        <v>43397</v>
      </c>
      <c r="F36" s="75">
        <v>43394</v>
      </c>
      <c r="G36" s="75">
        <v>43400</v>
      </c>
      <c r="H36" s="72">
        <v>1</v>
      </c>
    </row>
    <row r="37" spans="1:8">
      <c r="A37" s="73" t="s">
        <v>1054</v>
      </c>
      <c r="B37" s="74" t="s">
        <v>965</v>
      </c>
      <c r="C37" s="75" t="s">
        <v>576</v>
      </c>
      <c r="D37" s="75">
        <v>43385</v>
      </c>
      <c r="E37" s="76">
        <v>43396</v>
      </c>
      <c r="F37" s="75">
        <v>43380</v>
      </c>
      <c r="G37" s="75">
        <v>43386</v>
      </c>
      <c r="H37" s="72">
        <v>1</v>
      </c>
    </row>
    <row r="38" spans="1:8">
      <c r="A38" s="73" t="s">
        <v>1054</v>
      </c>
      <c r="B38" s="74" t="s">
        <v>965</v>
      </c>
      <c r="C38" s="75" t="s">
        <v>576</v>
      </c>
      <c r="D38" s="75">
        <v>43385</v>
      </c>
      <c r="E38" s="76">
        <v>43396</v>
      </c>
      <c r="F38" s="75">
        <v>43387</v>
      </c>
      <c r="G38" s="75">
        <v>43393</v>
      </c>
      <c r="H38" s="72">
        <v>5</v>
      </c>
    </row>
    <row r="39" spans="1:8">
      <c r="A39" s="73" t="s">
        <v>1054</v>
      </c>
      <c r="B39" s="74" t="s">
        <v>965</v>
      </c>
      <c r="C39" s="75" t="s">
        <v>576</v>
      </c>
      <c r="D39" s="75">
        <v>43385</v>
      </c>
      <c r="E39" s="76">
        <v>43396</v>
      </c>
      <c r="F39" s="75">
        <v>43394</v>
      </c>
      <c r="G39" s="75">
        <v>43400</v>
      </c>
      <c r="H39" s="72">
        <v>2</v>
      </c>
    </row>
    <row r="40" spans="1:8">
      <c r="A40" s="73" t="s">
        <v>1100</v>
      </c>
      <c r="B40" s="74" t="s">
        <v>970</v>
      </c>
      <c r="C40" s="75" t="s">
        <v>576</v>
      </c>
      <c r="D40" s="75">
        <v>43385</v>
      </c>
      <c r="E40" s="76">
        <v>43396</v>
      </c>
      <c r="F40" s="75">
        <v>43380</v>
      </c>
      <c r="G40" s="75">
        <v>43386</v>
      </c>
      <c r="H40" s="72">
        <v>1</v>
      </c>
    </row>
    <row r="41" spans="1:8">
      <c r="A41" s="73" t="s">
        <v>1100</v>
      </c>
      <c r="B41" s="74" t="s">
        <v>970</v>
      </c>
      <c r="C41" s="75" t="s">
        <v>576</v>
      </c>
      <c r="D41" s="75">
        <v>43385</v>
      </c>
      <c r="E41" s="76">
        <v>43396</v>
      </c>
      <c r="F41" s="75">
        <v>43387</v>
      </c>
      <c r="G41" s="75">
        <v>43393</v>
      </c>
      <c r="H41" s="72">
        <v>5</v>
      </c>
    </row>
    <row r="42" spans="1:8">
      <c r="A42" s="73" t="s">
        <v>1100</v>
      </c>
      <c r="B42" s="74" t="s">
        <v>970</v>
      </c>
      <c r="C42" s="75" t="s">
        <v>576</v>
      </c>
      <c r="D42" s="75">
        <v>43385</v>
      </c>
      <c r="E42" s="76">
        <v>43396</v>
      </c>
      <c r="F42" s="75">
        <v>43394</v>
      </c>
      <c r="G42" s="75">
        <v>43400</v>
      </c>
      <c r="H42" s="72">
        <v>2</v>
      </c>
    </row>
    <row r="43" spans="1:8">
      <c r="A43" s="73" t="s">
        <v>1008</v>
      </c>
      <c r="B43" s="74" t="s">
        <v>998</v>
      </c>
      <c r="C43" s="75" t="s">
        <v>553</v>
      </c>
      <c r="D43" s="75">
        <v>43399</v>
      </c>
      <c r="E43" s="76">
        <v>43417</v>
      </c>
      <c r="F43" s="75">
        <v>43394</v>
      </c>
      <c r="G43" s="75">
        <v>43400</v>
      </c>
      <c r="H43" s="72">
        <v>1</v>
      </c>
    </row>
    <row r="44" spans="1:8">
      <c r="A44" s="73" t="s">
        <v>1008</v>
      </c>
      <c r="B44" s="74" t="s">
        <v>998</v>
      </c>
      <c r="C44" s="75" t="s">
        <v>553</v>
      </c>
      <c r="D44" s="75">
        <v>43399</v>
      </c>
      <c r="E44" s="76">
        <v>43417</v>
      </c>
      <c r="F44" s="75">
        <v>43401</v>
      </c>
      <c r="G44" s="75">
        <v>43407</v>
      </c>
      <c r="H44" s="72">
        <v>5</v>
      </c>
    </row>
    <row r="45" spans="1:8">
      <c r="A45" s="73" t="s">
        <v>1008</v>
      </c>
      <c r="B45" s="74" t="s">
        <v>998</v>
      </c>
      <c r="C45" s="75" t="s">
        <v>553</v>
      </c>
      <c r="D45" s="75">
        <v>43399</v>
      </c>
      <c r="E45" s="76">
        <v>43417</v>
      </c>
      <c r="F45" s="75">
        <v>43408</v>
      </c>
      <c r="G45" s="75">
        <v>43414</v>
      </c>
      <c r="H45" s="72">
        <v>5</v>
      </c>
    </row>
    <row r="46" spans="1:8">
      <c r="A46" s="73" t="s">
        <v>1008</v>
      </c>
      <c r="B46" s="74" t="s">
        <v>998</v>
      </c>
      <c r="C46" s="75" t="s">
        <v>553</v>
      </c>
      <c r="D46" s="75">
        <v>43399</v>
      </c>
      <c r="E46" s="76">
        <v>43417</v>
      </c>
      <c r="F46" s="75">
        <v>43415</v>
      </c>
      <c r="G46" s="75">
        <v>43421</v>
      </c>
      <c r="H46" s="72">
        <v>2</v>
      </c>
    </row>
    <row r="47" spans="1:8">
      <c r="A47" s="73" t="s">
        <v>1016</v>
      </c>
      <c r="B47" s="74" t="s">
        <v>268</v>
      </c>
      <c r="C47" s="75" t="s">
        <v>583</v>
      </c>
      <c r="D47" s="75">
        <v>43406</v>
      </c>
      <c r="E47" s="76">
        <v>43417</v>
      </c>
      <c r="F47" s="75">
        <v>43401</v>
      </c>
      <c r="G47" s="75">
        <v>43407</v>
      </c>
      <c r="H47" s="72">
        <v>1</v>
      </c>
    </row>
    <row r="48" spans="1:8">
      <c r="A48" s="73" t="s">
        <v>1016</v>
      </c>
      <c r="B48" s="74" t="s">
        <v>268</v>
      </c>
      <c r="C48" s="75" t="s">
        <v>583</v>
      </c>
      <c r="D48" s="75">
        <v>43406</v>
      </c>
      <c r="E48" s="76">
        <v>43417</v>
      </c>
      <c r="F48" s="75">
        <v>43408</v>
      </c>
      <c r="G48" s="75">
        <v>43414</v>
      </c>
      <c r="H48" s="72">
        <v>5</v>
      </c>
    </row>
    <row r="49" spans="1:8">
      <c r="A49" s="73" t="s">
        <v>1016</v>
      </c>
      <c r="B49" s="74" t="s">
        <v>268</v>
      </c>
      <c r="C49" s="75" t="s">
        <v>583</v>
      </c>
      <c r="D49" s="75">
        <v>43406</v>
      </c>
      <c r="E49" s="76">
        <v>43417</v>
      </c>
      <c r="F49" s="75">
        <v>43415</v>
      </c>
      <c r="G49" s="75">
        <v>43421</v>
      </c>
      <c r="H49" s="72">
        <v>2</v>
      </c>
    </row>
    <row r="50" spans="1:8">
      <c r="A50" s="73" t="s">
        <v>980</v>
      </c>
      <c r="B50" s="74" t="s">
        <v>764</v>
      </c>
      <c r="C50" s="75" t="s">
        <v>602</v>
      </c>
      <c r="D50" s="75">
        <v>43413</v>
      </c>
      <c r="E50" s="76">
        <v>43424</v>
      </c>
      <c r="F50" s="75">
        <v>43408</v>
      </c>
      <c r="G50" s="75">
        <v>43414</v>
      </c>
      <c r="H50" s="72">
        <v>1</v>
      </c>
    </row>
    <row r="51" spans="1:8">
      <c r="A51" s="73" t="s">
        <v>980</v>
      </c>
      <c r="B51" s="74" t="s">
        <v>764</v>
      </c>
      <c r="C51" s="75" t="s">
        <v>602</v>
      </c>
      <c r="D51" s="75">
        <v>43413</v>
      </c>
      <c r="E51" s="76">
        <v>43424</v>
      </c>
      <c r="F51" s="75">
        <v>43415</v>
      </c>
      <c r="G51" s="75">
        <v>43421</v>
      </c>
      <c r="H51" s="72">
        <v>5</v>
      </c>
    </row>
    <row r="52" spans="1:8">
      <c r="A52" s="73" t="s">
        <v>980</v>
      </c>
      <c r="B52" s="74" t="s">
        <v>764</v>
      </c>
      <c r="C52" s="75" t="s">
        <v>602</v>
      </c>
      <c r="D52" s="75">
        <v>43413</v>
      </c>
      <c r="E52" s="76">
        <v>43424</v>
      </c>
      <c r="F52" s="75">
        <v>43422</v>
      </c>
      <c r="G52" s="75">
        <v>43428</v>
      </c>
      <c r="H52" s="72">
        <v>2</v>
      </c>
    </row>
    <row r="53" spans="1:8">
      <c r="A53" s="73" t="s">
        <v>966</v>
      </c>
      <c r="B53" s="74" t="s">
        <v>981</v>
      </c>
      <c r="C53" s="75" t="s">
        <v>547</v>
      </c>
      <c r="D53" s="75">
        <v>43413</v>
      </c>
      <c r="E53" s="76">
        <v>43431</v>
      </c>
      <c r="F53" s="75">
        <v>43408</v>
      </c>
      <c r="G53" s="75">
        <v>43414</v>
      </c>
      <c r="H53" s="72">
        <v>1</v>
      </c>
    </row>
    <row r="54" spans="1:8">
      <c r="A54" s="73" t="s">
        <v>966</v>
      </c>
      <c r="B54" s="74" t="s">
        <v>981</v>
      </c>
      <c r="C54" s="75" t="s">
        <v>547</v>
      </c>
      <c r="D54" s="75">
        <v>43413</v>
      </c>
      <c r="E54" s="76">
        <v>43431</v>
      </c>
      <c r="F54" s="75">
        <v>43415</v>
      </c>
      <c r="G54" s="75">
        <v>43421</v>
      </c>
      <c r="H54" s="72">
        <v>5</v>
      </c>
    </row>
    <row r="55" spans="1:8">
      <c r="A55" s="73" t="s">
        <v>966</v>
      </c>
      <c r="B55" s="74" t="s">
        <v>981</v>
      </c>
      <c r="C55" s="75" t="s">
        <v>547</v>
      </c>
      <c r="D55" s="75">
        <v>43413</v>
      </c>
      <c r="E55" s="76">
        <v>43431</v>
      </c>
      <c r="F55" s="75">
        <v>43422</v>
      </c>
      <c r="G55" s="75">
        <v>43428</v>
      </c>
      <c r="H55" s="72">
        <v>5</v>
      </c>
    </row>
    <row r="56" spans="1:8">
      <c r="A56" s="73" t="s">
        <v>966</v>
      </c>
      <c r="B56" s="74" t="s">
        <v>981</v>
      </c>
      <c r="C56" s="75" t="s">
        <v>547</v>
      </c>
      <c r="D56" s="75">
        <v>43413</v>
      </c>
      <c r="E56" s="76">
        <v>43431</v>
      </c>
      <c r="F56" s="75">
        <v>43429</v>
      </c>
      <c r="G56" s="75">
        <v>43435</v>
      </c>
      <c r="H56" s="72">
        <v>2</v>
      </c>
    </row>
    <row r="57" spans="1:8">
      <c r="A57" s="73" t="s">
        <v>1034</v>
      </c>
      <c r="B57" s="74" t="s">
        <v>967</v>
      </c>
      <c r="C57" s="75" t="s">
        <v>547</v>
      </c>
      <c r="D57" s="75">
        <v>43434</v>
      </c>
      <c r="E57" s="76">
        <v>43438</v>
      </c>
      <c r="F57" s="75">
        <v>43429</v>
      </c>
      <c r="G57" s="75">
        <v>43435</v>
      </c>
      <c r="H57" s="72">
        <v>1</v>
      </c>
    </row>
    <row r="58" spans="1:8">
      <c r="A58" s="73" t="s">
        <v>1034</v>
      </c>
      <c r="B58" s="74" t="s">
        <v>967</v>
      </c>
      <c r="C58" s="75" t="s">
        <v>547</v>
      </c>
      <c r="D58" s="75">
        <v>43434</v>
      </c>
      <c r="E58" s="76">
        <v>43438</v>
      </c>
      <c r="F58" s="75">
        <v>43436</v>
      </c>
      <c r="G58" s="75">
        <v>43442</v>
      </c>
      <c r="H58" s="72">
        <v>2</v>
      </c>
    </row>
    <row r="59" spans="1:8">
      <c r="A59" s="73" t="s">
        <v>1024</v>
      </c>
      <c r="B59" s="74" t="s">
        <v>756</v>
      </c>
      <c r="C59" s="75" t="s">
        <v>547</v>
      </c>
      <c r="D59" s="75">
        <v>43434</v>
      </c>
      <c r="E59" s="76">
        <v>43438</v>
      </c>
      <c r="F59" s="75">
        <v>43429</v>
      </c>
      <c r="G59" s="75">
        <v>43435</v>
      </c>
      <c r="H59" s="72">
        <v>1</v>
      </c>
    </row>
    <row r="60" spans="1:8">
      <c r="A60" s="73" t="s">
        <v>1024</v>
      </c>
      <c r="B60" s="74" t="s">
        <v>756</v>
      </c>
      <c r="C60" s="75" t="s">
        <v>547</v>
      </c>
      <c r="D60" s="75">
        <v>43434</v>
      </c>
      <c r="E60" s="76">
        <v>43438</v>
      </c>
      <c r="F60" s="75">
        <v>43436</v>
      </c>
      <c r="G60" s="75">
        <v>43442</v>
      </c>
      <c r="H60" s="72">
        <v>2</v>
      </c>
    </row>
    <row r="61" spans="1:8">
      <c r="A61" s="73" t="s">
        <v>761</v>
      </c>
      <c r="B61" s="74" t="s">
        <v>1017</v>
      </c>
      <c r="C61" s="75" t="s">
        <v>542</v>
      </c>
      <c r="D61" s="75">
        <v>43434</v>
      </c>
      <c r="E61" s="76">
        <v>43438</v>
      </c>
      <c r="F61" s="75">
        <v>43429</v>
      </c>
      <c r="G61" s="75">
        <v>43435</v>
      </c>
      <c r="H61" s="72">
        <v>1</v>
      </c>
    </row>
    <row r="62" spans="1:8">
      <c r="A62" s="73" t="s">
        <v>761</v>
      </c>
      <c r="B62" s="74" t="s">
        <v>1017</v>
      </c>
      <c r="C62" s="75" t="s">
        <v>542</v>
      </c>
      <c r="D62" s="75">
        <v>43434</v>
      </c>
      <c r="E62" s="76">
        <v>43438</v>
      </c>
      <c r="F62" s="75">
        <v>43436</v>
      </c>
      <c r="G62" s="75">
        <v>43442</v>
      </c>
      <c r="H62" s="72">
        <v>2</v>
      </c>
    </row>
    <row r="63" spans="1:8">
      <c r="A63" s="73" t="s">
        <v>786</v>
      </c>
      <c r="B63" s="74" t="s">
        <v>1029</v>
      </c>
      <c r="C63" s="75" t="s">
        <v>586</v>
      </c>
      <c r="D63" s="75">
        <v>43441</v>
      </c>
      <c r="E63" s="76">
        <v>43445</v>
      </c>
      <c r="F63" s="75">
        <v>43436</v>
      </c>
      <c r="G63" s="75">
        <v>43442</v>
      </c>
      <c r="H63" s="72">
        <v>1</v>
      </c>
    </row>
    <row r="64" spans="1:8">
      <c r="A64" s="73" t="s">
        <v>786</v>
      </c>
      <c r="B64" s="74" t="s">
        <v>1029</v>
      </c>
      <c r="C64" s="75" t="s">
        <v>586</v>
      </c>
      <c r="D64" s="75">
        <v>43441</v>
      </c>
      <c r="E64" s="76">
        <v>43445</v>
      </c>
      <c r="F64" s="75">
        <v>43443</v>
      </c>
      <c r="G64" s="75">
        <v>43449</v>
      </c>
      <c r="H64" s="72">
        <v>2</v>
      </c>
    </row>
    <row r="65" spans="1:8">
      <c r="A65" s="73" t="s">
        <v>775</v>
      </c>
      <c r="B65" s="74" t="s">
        <v>1038</v>
      </c>
      <c r="C65" s="75" t="s">
        <v>586</v>
      </c>
      <c r="D65" s="75">
        <v>43441</v>
      </c>
      <c r="E65" s="76">
        <v>43452</v>
      </c>
      <c r="F65" s="75">
        <v>43436</v>
      </c>
      <c r="G65" s="75">
        <v>43442</v>
      </c>
      <c r="H65" s="72">
        <v>1</v>
      </c>
    </row>
    <row r="66" spans="1:8">
      <c r="A66" s="73" t="s">
        <v>775</v>
      </c>
      <c r="B66" s="74" t="s">
        <v>1038</v>
      </c>
      <c r="C66" s="75" t="s">
        <v>586</v>
      </c>
      <c r="D66" s="75">
        <v>43441</v>
      </c>
      <c r="E66" s="76">
        <v>43452</v>
      </c>
      <c r="F66" s="75">
        <v>43443</v>
      </c>
      <c r="G66" s="75">
        <v>43449</v>
      </c>
      <c r="H66" s="72">
        <v>5</v>
      </c>
    </row>
    <row r="67" spans="1:8">
      <c r="A67" s="73" t="s">
        <v>775</v>
      </c>
      <c r="B67" s="74" t="s">
        <v>1038</v>
      </c>
      <c r="C67" s="75" t="s">
        <v>586</v>
      </c>
      <c r="D67" s="75">
        <v>43441</v>
      </c>
      <c r="E67" s="76">
        <v>43452</v>
      </c>
      <c r="F67" s="75">
        <v>43450</v>
      </c>
      <c r="G67" s="75">
        <v>43456</v>
      </c>
      <c r="H67" s="72">
        <v>2</v>
      </c>
    </row>
    <row r="68" spans="1:8">
      <c r="A68" s="73" t="s">
        <v>767</v>
      </c>
      <c r="B68" s="74" t="s">
        <v>569</v>
      </c>
      <c r="C68" s="75" t="s">
        <v>542</v>
      </c>
      <c r="D68" s="75">
        <v>43434</v>
      </c>
      <c r="E68" s="76">
        <v>43493</v>
      </c>
      <c r="F68" s="75">
        <v>43429</v>
      </c>
      <c r="G68" s="75">
        <v>43435</v>
      </c>
      <c r="H68" s="72">
        <v>0.5</v>
      </c>
    </row>
    <row r="69" spans="1:8">
      <c r="A69" s="73" t="s">
        <v>767</v>
      </c>
      <c r="B69" s="74" t="s">
        <v>569</v>
      </c>
      <c r="C69" s="75" t="s">
        <v>586</v>
      </c>
      <c r="D69" s="75">
        <v>43434</v>
      </c>
      <c r="E69" s="76">
        <v>43493</v>
      </c>
      <c r="F69" s="75">
        <v>43429</v>
      </c>
      <c r="G69" s="75">
        <v>43435</v>
      </c>
      <c r="H69" s="72">
        <v>0.5</v>
      </c>
    </row>
    <row r="70" spans="1:8">
      <c r="A70" s="73" t="s">
        <v>767</v>
      </c>
      <c r="B70" s="74" t="s">
        <v>569</v>
      </c>
      <c r="C70" s="75" t="s">
        <v>542</v>
      </c>
      <c r="D70" s="75">
        <v>43434</v>
      </c>
      <c r="E70" s="76">
        <v>43493</v>
      </c>
      <c r="F70" s="75">
        <v>43436</v>
      </c>
      <c r="G70" s="75">
        <v>43442</v>
      </c>
      <c r="H70" s="72">
        <v>2.5</v>
      </c>
    </row>
    <row r="71" spans="1:8">
      <c r="A71" s="73" t="s">
        <v>767</v>
      </c>
      <c r="B71" s="74" t="s">
        <v>569</v>
      </c>
      <c r="C71" s="75" t="s">
        <v>586</v>
      </c>
      <c r="D71" s="75">
        <v>43434</v>
      </c>
      <c r="E71" s="76">
        <v>43493</v>
      </c>
      <c r="F71" s="75">
        <v>43436</v>
      </c>
      <c r="G71" s="75">
        <v>43442</v>
      </c>
      <c r="H71" s="72">
        <v>2.5</v>
      </c>
    </row>
    <row r="72" spans="1:8">
      <c r="A72" s="73" t="s">
        <v>767</v>
      </c>
      <c r="B72" s="74" t="s">
        <v>569</v>
      </c>
      <c r="C72" s="75" t="s">
        <v>542</v>
      </c>
      <c r="D72" s="75">
        <v>43434</v>
      </c>
      <c r="E72" s="76">
        <v>43493</v>
      </c>
      <c r="F72" s="75">
        <v>43443</v>
      </c>
      <c r="G72" s="75">
        <v>43449</v>
      </c>
      <c r="H72" s="72">
        <v>2.5</v>
      </c>
    </row>
    <row r="73" spans="1:8">
      <c r="A73" s="73" t="s">
        <v>767</v>
      </c>
      <c r="B73" s="74" t="s">
        <v>569</v>
      </c>
      <c r="C73" s="75" t="s">
        <v>586</v>
      </c>
      <c r="D73" s="75">
        <v>43434</v>
      </c>
      <c r="E73" s="76">
        <v>43493</v>
      </c>
      <c r="F73" s="75">
        <v>43443</v>
      </c>
      <c r="G73" s="75">
        <v>43449</v>
      </c>
      <c r="H73" s="72">
        <v>2.5</v>
      </c>
    </row>
    <row r="74" spans="1:8">
      <c r="A74" s="73" t="s">
        <v>767</v>
      </c>
      <c r="B74" s="74" t="s">
        <v>569</v>
      </c>
      <c r="C74" s="75" t="s">
        <v>542</v>
      </c>
      <c r="D74" s="75">
        <v>43434</v>
      </c>
      <c r="E74" s="76">
        <v>43493</v>
      </c>
      <c r="F74" s="75">
        <v>43450</v>
      </c>
      <c r="G74" s="75">
        <v>43456</v>
      </c>
      <c r="H74" s="72">
        <v>2.5</v>
      </c>
    </row>
    <row r="75" spans="1:8">
      <c r="A75" s="73" t="s">
        <v>767</v>
      </c>
      <c r="B75" s="74" t="s">
        <v>569</v>
      </c>
      <c r="C75" s="75" t="s">
        <v>586</v>
      </c>
      <c r="D75" s="75">
        <v>43434</v>
      </c>
      <c r="E75" s="76">
        <v>43493</v>
      </c>
      <c r="F75" s="75">
        <v>43450</v>
      </c>
      <c r="G75" s="75">
        <v>43456</v>
      </c>
      <c r="H75" s="72">
        <v>2.5</v>
      </c>
    </row>
    <row r="76" spans="1:8">
      <c r="A76" s="73" t="s">
        <v>767</v>
      </c>
      <c r="B76" s="74" t="s">
        <v>569</v>
      </c>
      <c r="C76" s="75" t="s">
        <v>542</v>
      </c>
      <c r="D76" s="75">
        <v>43434</v>
      </c>
      <c r="E76" s="76">
        <v>43493</v>
      </c>
      <c r="F76" s="75">
        <v>43457</v>
      </c>
      <c r="G76" s="75">
        <v>43463</v>
      </c>
      <c r="H76" s="72">
        <v>2</v>
      </c>
    </row>
    <row r="77" spans="1:8">
      <c r="A77" s="73" t="s">
        <v>767</v>
      </c>
      <c r="B77" s="74" t="s">
        <v>569</v>
      </c>
      <c r="C77" s="75" t="s">
        <v>586</v>
      </c>
      <c r="D77" s="75">
        <v>43434</v>
      </c>
      <c r="E77" s="76">
        <v>43493</v>
      </c>
      <c r="F77" s="75">
        <v>43457</v>
      </c>
      <c r="G77" s="75">
        <v>43463</v>
      </c>
      <c r="H77" s="72">
        <v>2</v>
      </c>
    </row>
    <row r="78" spans="1:8">
      <c r="A78" s="73" t="s">
        <v>767</v>
      </c>
      <c r="B78" s="74" t="s">
        <v>569</v>
      </c>
      <c r="C78" s="75" t="s">
        <v>542</v>
      </c>
      <c r="D78" s="75">
        <v>43434</v>
      </c>
      <c r="E78" s="76">
        <v>43493</v>
      </c>
      <c r="F78" s="75">
        <v>43464</v>
      </c>
      <c r="G78" s="75">
        <v>43470</v>
      </c>
      <c r="H78" s="72">
        <v>2</v>
      </c>
    </row>
    <row r="79" spans="1:8">
      <c r="A79" s="73" t="s">
        <v>767</v>
      </c>
      <c r="B79" s="74" t="s">
        <v>569</v>
      </c>
      <c r="C79" s="75" t="s">
        <v>586</v>
      </c>
      <c r="D79" s="75">
        <v>43434</v>
      </c>
      <c r="E79" s="76">
        <v>43493</v>
      </c>
      <c r="F79" s="75">
        <v>43464</v>
      </c>
      <c r="G79" s="75">
        <v>43470</v>
      </c>
      <c r="H79" s="72">
        <v>2</v>
      </c>
    </row>
    <row r="80" spans="1:8">
      <c r="A80" s="73" t="s">
        <v>767</v>
      </c>
      <c r="B80" s="74" t="s">
        <v>569</v>
      </c>
      <c r="C80" s="75" t="s">
        <v>542</v>
      </c>
      <c r="D80" s="75">
        <v>43434</v>
      </c>
      <c r="E80" s="76">
        <v>43493</v>
      </c>
      <c r="F80" s="75">
        <v>43471</v>
      </c>
      <c r="G80" s="75">
        <v>43477</v>
      </c>
      <c r="H80" s="72">
        <v>2.5</v>
      </c>
    </row>
    <row r="81" spans="1:8">
      <c r="A81" s="73" t="s">
        <v>767</v>
      </c>
      <c r="B81" s="74" t="s">
        <v>569</v>
      </c>
      <c r="C81" s="75" t="s">
        <v>586</v>
      </c>
      <c r="D81" s="75">
        <v>43434</v>
      </c>
      <c r="E81" s="76">
        <v>43493</v>
      </c>
      <c r="F81" s="75">
        <v>43471</v>
      </c>
      <c r="G81" s="75">
        <v>43477</v>
      </c>
      <c r="H81" s="72">
        <v>2.5</v>
      </c>
    </row>
    <row r="82" spans="1:8">
      <c r="A82" s="73" t="s">
        <v>767</v>
      </c>
      <c r="B82" s="74" t="s">
        <v>569</v>
      </c>
      <c r="C82" s="75" t="s">
        <v>542</v>
      </c>
      <c r="D82" s="75">
        <v>43434</v>
      </c>
      <c r="E82" s="76">
        <v>43493</v>
      </c>
      <c r="F82" s="75">
        <v>43478</v>
      </c>
      <c r="G82" s="75">
        <v>43484</v>
      </c>
      <c r="H82" s="72">
        <v>2.5</v>
      </c>
    </row>
    <row r="83" spans="1:8">
      <c r="A83" s="73" t="s">
        <v>767</v>
      </c>
      <c r="B83" s="74" t="s">
        <v>569</v>
      </c>
      <c r="C83" s="75" t="s">
        <v>586</v>
      </c>
      <c r="D83" s="75">
        <v>43434</v>
      </c>
      <c r="E83" s="76">
        <v>43493</v>
      </c>
      <c r="F83" s="75">
        <v>43478</v>
      </c>
      <c r="G83" s="75">
        <v>43484</v>
      </c>
      <c r="H83" s="72">
        <v>2.5</v>
      </c>
    </row>
    <row r="84" spans="1:8">
      <c r="A84" s="73" t="s">
        <v>767</v>
      </c>
      <c r="B84" s="74" t="s">
        <v>569</v>
      </c>
      <c r="C84" s="75" t="s">
        <v>542</v>
      </c>
      <c r="D84" s="75">
        <v>43434</v>
      </c>
      <c r="E84" s="76">
        <v>43493</v>
      </c>
      <c r="F84" s="75">
        <v>43485</v>
      </c>
      <c r="G84" s="75">
        <v>43491</v>
      </c>
      <c r="H84" s="72">
        <v>2.5</v>
      </c>
    </row>
    <row r="85" spans="1:8">
      <c r="A85" s="73" t="s">
        <v>767</v>
      </c>
      <c r="B85" s="74" t="s">
        <v>569</v>
      </c>
      <c r="C85" s="75" t="s">
        <v>586</v>
      </c>
      <c r="D85" s="75">
        <v>43434</v>
      </c>
      <c r="E85" s="76">
        <v>43493</v>
      </c>
      <c r="F85" s="75">
        <v>43485</v>
      </c>
      <c r="G85" s="75">
        <v>43491</v>
      </c>
      <c r="H85" s="72">
        <v>2.5</v>
      </c>
    </row>
    <row r="86" spans="1:8">
      <c r="A86" s="73" t="s">
        <v>767</v>
      </c>
      <c r="B86" s="74" t="s">
        <v>569</v>
      </c>
      <c r="C86" s="75" t="s">
        <v>542</v>
      </c>
      <c r="D86" s="75">
        <v>43434</v>
      </c>
      <c r="E86" s="76">
        <v>43493</v>
      </c>
      <c r="F86" s="75">
        <v>43492</v>
      </c>
      <c r="G86" s="75">
        <v>43498</v>
      </c>
      <c r="H86" s="72">
        <v>0.5</v>
      </c>
    </row>
    <row r="87" spans="1:8">
      <c r="A87" s="73" t="s">
        <v>767</v>
      </c>
      <c r="B87" s="74" t="s">
        <v>569</v>
      </c>
      <c r="C87" s="75" t="s">
        <v>586</v>
      </c>
      <c r="D87" s="75">
        <v>43434</v>
      </c>
      <c r="E87" s="76">
        <v>43493</v>
      </c>
      <c r="F87" s="75">
        <v>43492</v>
      </c>
      <c r="G87" s="75">
        <v>43498</v>
      </c>
      <c r="H87" s="72">
        <v>0.5</v>
      </c>
    </row>
    <row r="88" spans="1:8">
      <c r="A88" s="73" t="s">
        <v>766</v>
      </c>
      <c r="B88" s="74" t="s">
        <v>603</v>
      </c>
      <c r="C88" s="75" t="s">
        <v>542</v>
      </c>
      <c r="D88" s="75">
        <v>43434</v>
      </c>
      <c r="E88" s="76">
        <v>43493</v>
      </c>
      <c r="F88" s="75">
        <v>43429</v>
      </c>
      <c r="G88" s="75">
        <v>43435</v>
      </c>
      <c r="H88" s="72">
        <v>1</v>
      </c>
    </row>
    <row r="89" spans="1:8">
      <c r="A89" s="73" t="s">
        <v>766</v>
      </c>
      <c r="B89" s="74" t="s">
        <v>603</v>
      </c>
      <c r="C89" s="75" t="s">
        <v>542</v>
      </c>
      <c r="D89" s="75">
        <v>43434</v>
      </c>
      <c r="E89" s="76">
        <v>43493</v>
      </c>
      <c r="F89" s="75">
        <v>43436</v>
      </c>
      <c r="G89" s="75">
        <v>43442</v>
      </c>
      <c r="H89" s="72">
        <v>5</v>
      </c>
    </row>
    <row r="90" spans="1:8">
      <c r="A90" s="73" t="s">
        <v>766</v>
      </c>
      <c r="B90" s="74" t="s">
        <v>603</v>
      </c>
      <c r="C90" s="75" t="s">
        <v>542</v>
      </c>
      <c r="D90" s="75">
        <v>43434</v>
      </c>
      <c r="E90" s="76">
        <v>43493</v>
      </c>
      <c r="F90" s="75">
        <v>43443</v>
      </c>
      <c r="G90" s="75">
        <v>43449</v>
      </c>
      <c r="H90" s="72">
        <v>5</v>
      </c>
    </row>
    <row r="91" spans="1:8">
      <c r="A91" s="73" t="s">
        <v>766</v>
      </c>
      <c r="B91" s="74" t="s">
        <v>603</v>
      </c>
      <c r="C91" s="75" t="s">
        <v>542</v>
      </c>
      <c r="D91" s="75">
        <v>43434</v>
      </c>
      <c r="E91" s="76">
        <v>43493</v>
      </c>
      <c r="F91" s="75">
        <v>43450</v>
      </c>
      <c r="G91" s="75">
        <v>43456</v>
      </c>
      <c r="H91" s="72">
        <v>5</v>
      </c>
    </row>
    <row r="92" spans="1:8">
      <c r="A92" s="73" t="s">
        <v>766</v>
      </c>
      <c r="B92" s="74" t="s">
        <v>603</v>
      </c>
      <c r="C92" s="75" t="s">
        <v>542</v>
      </c>
      <c r="D92" s="75">
        <v>43434</v>
      </c>
      <c r="E92" s="76">
        <v>43493</v>
      </c>
      <c r="F92" s="75">
        <v>43457</v>
      </c>
      <c r="G92" s="75">
        <v>43463</v>
      </c>
      <c r="H92" s="72">
        <v>4</v>
      </c>
    </row>
    <row r="93" spans="1:8">
      <c r="A93" s="73" t="s">
        <v>766</v>
      </c>
      <c r="B93" s="74" t="s">
        <v>603</v>
      </c>
      <c r="C93" s="75" t="s">
        <v>542</v>
      </c>
      <c r="D93" s="75">
        <v>43434</v>
      </c>
      <c r="E93" s="76">
        <v>43493</v>
      </c>
      <c r="F93" s="75">
        <v>43464</v>
      </c>
      <c r="G93" s="75">
        <v>43470</v>
      </c>
      <c r="H93" s="72">
        <v>4</v>
      </c>
    </row>
    <row r="94" spans="1:8">
      <c r="A94" s="73" t="s">
        <v>766</v>
      </c>
      <c r="B94" s="74" t="s">
        <v>603</v>
      </c>
      <c r="C94" s="75" t="s">
        <v>542</v>
      </c>
      <c r="D94" s="75">
        <v>43434</v>
      </c>
      <c r="E94" s="76">
        <v>43493</v>
      </c>
      <c r="F94" s="75">
        <v>43471</v>
      </c>
      <c r="G94" s="75">
        <v>43477</v>
      </c>
      <c r="H94" s="72">
        <v>5</v>
      </c>
    </row>
    <row r="95" spans="1:8">
      <c r="A95" s="73" t="s">
        <v>766</v>
      </c>
      <c r="B95" s="74" t="s">
        <v>603</v>
      </c>
      <c r="C95" s="75" t="s">
        <v>542</v>
      </c>
      <c r="D95" s="75">
        <v>43434</v>
      </c>
      <c r="E95" s="76">
        <v>43493</v>
      </c>
      <c r="F95" s="75">
        <v>43478</v>
      </c>
      <c r="G95" s="75">
        <v>43484</v>
      </c>
      <c r="H95" s="72">
        <v>5</v>
      </c>
    </row>
    <row r="96" spans="1:8">
      <c r="A96" s="73" t="s">
        <v>766</v>
      </c>
      <c r="B96" s="74" t="s">
        <v>603</v>
      </c>
      <c r="C96" s="75" t="s">
        <v>542</v>
      </c>
      <c r="D96" s="75">
        <v>43434</v>
      </c>
      <c r="E96" s="76">
        <v>43493</v>
      </c>
      <c r="F96" s="75">
        <v>43485</v>
      </c>
      <c r="G96" s="75">
        <v>43491</v>
      </c>
      <c r="H96" s="72">
        <v>5</v>
      </c>
    </row>
    <row r="97" spans="1:8">
      <c r="A97" s="73" t="s">
        <v>766</v>
      </c>
      <c r="B97" s="74" t="s">
        <v>603</v>
      </c>
      <c r="C97" s="75" t="s">
        <v>542</v>
      </c>
      <c r="D97" s="75">
        <v>43434</v>
      </c>
      <c r="E97" s="76">
        <v>43493</v>
      </c>
      <c r="F97" s="75">
        <v>43492</v>
      </c>
      <c r="G97" s="75">
        <v>43498</v>
      </c>
      <c r="H97" s="72">
        <v>1</v>
      </c>
    </row>
    <row r="98" spans="1:8">
      <c r="A98" s="73" t="s">
        <v>772</v>
      </c>
      <c r="B98" s="74" t="s">
        <v>601</v>
      </c>
      <c r="C98" s="75" t="s">
        <v>586</v>
      </c>
      <c r="D98" s="75">
        <v>43448</v>
      </c>
      <c r="E98" s="76">
        <v>43493</v>
      </c>
      <c r="F98" s="75">
        <v>43443</v>
      </c>
      <c r="G98" s="75">
        <v>43449</v>
      </c>
      <c r="H98" s="72">
        <v>1</v>
      </c>
    </row>
    <row r="99" spans="1:8">
      <c r="A99" s="73" t="s">
        <v>772</v>
      </c>
      <c r="B99" s="74" t="s">
        <v>601</v>
      </c>
      <c r="C99" s="75" t="s">
        <v>586</v>
      </c>
      <c r="D99" s="75">
        <v>43448</v>
      </c>
      <c r="E99" s="76">
        <v>43493</v>
      </c>
      <c r="F99" s="75">
        <v>43450</v>
      </c>
      <c r="G99" s="75">
        <v>43456</v>
      </c>
      <c r="H99" s="72">
        <v>5</v>
      </c>
    </row>
    <row r="100" spans="1:8">
      <c r="A100" s="73" t="s">
        <v>772</v>
      </c>
      <c r="B100" s="74" t="s">
        <v>601</v>
      </c>
      <c r="C100" s="75" t="s">
        <v>586</v>
      </c>
      <c r="D100" s="75">
        <v>43448</v>
      </c>
      <c r="E100" s="76">
        <v>43493</v>
      </c>
      <c r="F100" s="75">
        <v>43457</v>
      </c>
      <c r="G100" s="75">
        <v>43463</v>
      </c>
      <c r="H100" s="72">
        <v>4</v>
      </c>
    </row>
    <row r="101" spans="1:8">
      <c r="A101" s="73" t="s">
        <v>772</v>
      </c>
      <c r="B101" s="74" t="s">
        <v>601</v>
      </c>
      <c r="C101" s="75" t="s">
        <v>586</v>
      </c>
      <c r="D101" s="75">
        <v>43448</v>
      </c>
      <c r="E101" s="76">
        <v>43493</v>
      </c>
      <c r="F101" s="75">
        <v>43464</v>
      </c>
      <c r="G101" s="75">
        <v>43470</v>
      </c>
      <c r="H101" s="72">
        <v>4</v>
      </c>
    </row>
    <row r="102" spans="1:8">
      <c r="A102" s="73" t="s">
        <v>772</v>
      </c>
      <c r="B102" s="74" t="s">
        <v>601</v>
      </c>
      <c r="C102" s="75" t="s">
        <v>586</v>
      </c>
      <c r="D102" s="75">
        <v>43448</v>
      </c>
      <c r="E102" s="76">
        <v>43493</v>
      </c>
      <c r="F102" s="75">
        <v>43471</v>
      </c>
      <c r="G102" s="75">
        <v>43477</v>
      </c>
      <c r="H102" s="72">
        <v>5</v>
      </c>
    </row>
    <row r="103" spans="1:8">
      <c r="A103" s="73" t="s">
        <v>772</v>
      </c>
      <c r="B103" s="74" t="s">
        <v>601</v>
      </c>
      <c r="C103" s="75" t="s">
        <v>586</v>
      </c>
      <c r="D103" s="75">
        <v>43448</v>
      </c>
      <c r="E103" s="76">
        <v>43493</v>
      </c>
      <c r="F103" s="75">
        <v>43478</v>
      </c>
      <c r="G103" s="75">
        <v>43484</v>
      </c>
      <c r="H103" s="72">
        <v>5</v>
      </c>
    </row>
    <row r="104" spans="1:8">
      <c r="A104" s="73" t="s">
        <v>772</v>
      </c>
      <c r="B104" s="74" t="s">
        <v>601</v>
      </c>
      <c r="C104" s="75" t="s">
        <v>586</v>
      </c>
      <c r="D104" s="75">
        <v>43448</v>
      </c>
      <c r="E104" s="76">
        <v>43493</v>
      </c>
      <c r="F104" s="75">
        <v>43485</v>
      </c>
      <c r="G104" s="75">
        <v>43491</v>
      </c>
      <c r="H104" s="72">
        <v>5</v>
      </c>
    </row>
    <row r="105" spans="1:8">
      <c r="A105" s="73" t="s">
        <v>772</v>
      </c>
      <c r="B105" s="74" t="s">
        <v>601</v>
      </c>
      <c r="C105" s="75" t="s">
        <v>586</v>
      </c>
      <c r="D105" s="75">
        <v>43448</v>
      </c>
      <c r="E105" s="76">
        <v>43493</v>
      </c>
      <c r="F105" s="75">
        <v>43492</v>
      </c>
      <c r="G105" s="75">
        <v>43498</v>
      </c>
      <c r="H105" s="72">
        <v>1</v>
      </c>
    </row>
    <row r="106" spans="1:8">
      <c r="A106" s="73" t="s">
        <v>1119</v>
      </c>
      <c r="B106" s="74" t="s">
        <v>1041</v>
      </c>
      <c r="C106" s="75" t="s">
        <v>547</v>
      </c>
      <c r="D106" s="75">
        <v>43476</v>
      </c>
      <c r="E106" s="76">
        <v>43494</v>
      </c>
      <c r="F106" s="75">
        <v>43471</v>
      </c>
      <c r="G106" s="75">
        <v>43477</v>
      </c>
      <c r="H106" s="72">
        <v>1</v>
      </c>
    </row>
    <row r="107" spans="1:8">
      <c r="A107" s="73" t="s">
        <v>1119</v>
      </c>
      <c r="B107" s="74" t="s">
        <v>1041</v>
      </c>
      <c r="C107" s="75" t="s">
        <v>547</v>
      </c>
      <c r="D107" s="75">
        <v>43476</v>
      </c>
      <c r="E107" s="76">
        <v>43494</v>
      </c>
      <c r="F107" s="75">
        <v>43478</v>
      </c>
      <c r="G107" s="75">
        <v>43484</v>
      </c>
      <c r="H107" s="72">
        <v>5</v>
      </c>
    </row>
    <row r="108" spans="1:8">
      <c r="A108" s="73" t="s">
        <v>1119</v>
      </c>
      <c r="B108" s="74" t="s">
        <v>1041</v>
      </c>
      <c r="C108" s="75" t="s">
        <v>547</v>
      </c>
      <c r="D108" s="75">
        <v>43476</v>
      </c>
      <c r="E108" s="76">
        <v>43494</v>
      </c>
      <c r="F108" s="75">
        <v>43485</v>
      </c>
      <c r="G108" s="75">
        <v>43491</v>
      </c>
      <c r="H108" s="72">
        <v>5</v>
      </c>
    </row>
    <row r="109" spans="1:8">
      <c r="A109" s="73" t="s">
        <v>1119</v>
      </c>
      <c r="B109" s="74" t="s">
        <v>1041</v>
      </c>
      <c r="C109" s="75" t="s">
        <v>547</v>
      </c>
      <c r="D109" s="75">
        <v>43476</v>
      </c>
      <c r="E109" s="76">
        <v>43494</v>
      </c>
      <c r="F109" s="75">
        <v>43492</v>
      </c>
      <c r="G109" s="75">
        <v>43498</v>
      </c>
      <c r="H109" s="72">
        <v>2</v>
      </c>
    </row>
    <row r="110" spans="1:8">
      <c r="A110" s="73" t="s">
        <v>1055</v>
      </c>
      <c r="B110" s="74" t="s">
        <v>777</v>
      </c>
      <c r="C110" s="75" t="s">
        <v>547</v>
      </c>
      <c r="D110" s="75">
        <v>43497</v>
      </c>
      <c r="E110" s="76">
        <v>43501</v>
      </c>
      <c r="F110" s="75">
        <v>43492</v>
      </c>
      <c r="G110" s="75">
        <v>43498</v>
      </c>
      <c r="H110" s="72">
        <v>1</v>
      </c>
    </row>
    <row r="111" spans="1:8">
      <c r="A111" s="73" t="s">
        <v>1055</v>
      </c>
      <c r="B111" s="74" t="s">
        <v>777</v>
      </c>
      <c r="C111" s="75" t="s">
        <v>547</v>
      </c>
      <c r="D111" s="75">
        <v>43497</v>
      </c>
      <c r="E111" s="76">
        <v>43501</v>
      </c>
      <c r="F111" s="75">
        <v>43499</v>
      </c>
      <c r="G111" s="75">
        <v>43505</v>
      </c>
      <c r="H111" s="72">
        <v>0</v>
      </c>
    </row>
    <row r="112" spans="1:8">
      <c r="A112" s="73" t="s">
        <v>1122</v>
      </c>
      <c r="B112" s="74" t="s">
        <v>1206</v>
      </c>
      <c r="C112" s="75" t="s">
        <v>547</v>
      </c>
      <c r="D112" s="75">
        <v>43497</v>
      </c>
      <c r="E112" s="76">
        <v>43499</v>
      </c>
      <c r="F112" s="75">
        <v>43492</v>
      </c>
      <c r="G112" s="75">
        <v>43498</v>
      </c>
      <c r="H112" s="72">
        <v>1</v>
      </c>
    </row>
    <row r="113" spans="1:8">
      <c r="A113" s="73" t="s">
        <v>1122</v>
      </c>
      <c r="B113" s="74" t="s">
        <v>1206</v>
      </c>
      <c r="C113" s="75" t="s">
        <v>547</v>
      </c>
      <c r="D113" s="75">
        <v>43497</v>
      </c>
      <c r="E113" s="76">
        <v>43499</v>
      </c>
      <c r="F113" s="75">
        <v>43499</v>
      </c>
      <c r="G113" s="75">
        <v>43505</v>
      </c>
      <c r="H113" s="72">
        <v>0</v>
      </c>
    </row>
    <row r="114" spans="1:8">
      <c r="A114" s="73" t="s">
        <v>1112</v>
      </c>
      <c r="B114" s="74" t="s">
        <v>779</v>
      </c>
      <c r="C114" s="75" t="s">
        <v>547</v>
      </c>
      <c r="D114" s="75">
        <v>43501</v>
      </c>
      <c r="E114" s="76">
        <v>43503</v>
      </c>
      <c r="F114" s="75">
        <v>43499</v>
      </c>
      <c r="G114" s="75">
        <v>43505</v>
      </c>
      <c r="H114" s="72">
        <v>0.5</v>
      </c>
    </row>
    <row r="115" spans="1:8">
      <c r="A115" s="73" t="s">
        <v>1112</v>
      </c>
      <c r="B115" s="74" t="s">
        <v>779</v>
      </c>
      <c r="C115" s="75" t="s">
        <v>602</v>
      </c>
      <c r="D115" s="75">
        <v>43501</v>
      </c>
      <c r="E115" s="76">
        <v>43503</v>
      </c>
      <c r="F115" s="75">
        <v>43499</v>
      </c>
      <c r="G115" s="75">
        <v>43505</v>
      </c>
      <c r="H115" s="72">
        <v>0.5</v>
      </c>
    </row>
    <row r="116" spans="1:8">
      <c r="A116" s="73" t="s">
        <v>1097</v>
      </c>
      <c r="B116" s="74" t="s">
        <v>1077</v>
      </c>
      <c r="C116" s="75" t="s">
        <v>547</v>
      </c>
      <c r="D116" s="75">
        <v>43501</v>
      </c>
      <c r="E116" s="76">
        <v>43503</v>
      </c>
      <c r="F116" s="75">
        <v>43499</v>
      </c>
      <c r="G116" s="75">
        <v>43505</v>
      </c>
      <c r="H116" s="72">
        <v>0.5</v>
      </c>
    </row>
    <row r="117" spans="1:8">
      <c r="A117" s="73" t="s">
        <v>1097</v>
      </c>
      <c r="B117" s="74" t="s">
        <v>1077</v>
      </c>
      <c r="C117" s="75" t="s">
        <v>542</v>
      </c>
      <c r="D117" s="75">
        <v>43501</v>
      </c>
      <c r="E117" s="76">
        <v>43503</v>
      </c>
      <c r="F117" s="75">
        <v>43499</v>
      </c>
      <c r="G117" s="75">
        <v>43505</v>
      </c>
      <c r="H117" s="72">
        <v>0.5</v>
      </c>
    </row>
    <row r="118" spans="1:8">
      <c r="A118" s="73" t="s">
        <v>1044</v>
      </c>
      <c r="B118" s="74" t="s">
        <v>1075</v>
      </c>
      <c r="C118" s="75" t="s">
        <v>547</v>
      </c>
      <c r="D118" s="75">
        <v>43501</v>
      </c>
      <c r="E118" s="76">
        <v>43503</v>
      </c>
      <c r="F118" s="75">
        <v>43499</v>
      </c>
      <c r="G118" s="75">
        <v>43505</v>
      </c>
      <c r="H118" s="72">
        <v>0.5</v>
      </c>
    </row>
    <row r="119" spans="1:8">
      <c r="A119" s="73" t="s">
        <v>1044</v>
      </c>
      <c r="B119" s="74" t="s">
        <v>1075</v>
      </c>
      <c r="C119" s="75" t="s">
        <v>542</v>
      </c>
      <c r="D119" s="75">
        <v>43501</v>
      </c>
      <c r="E119" s="76">
        <v>43503</v>
      </c>
      <c r="F119" s="75">
        <v>43499</v>
      </c>
      <c r="G119" s="75">
        <v>43505</v>
      </c>
      <c r="H119" s="72">
        <v>0.5</v>
      </c>
    </row>
    <row r="120" spans="1:8">
      <c r="A120" s="73" t="s">
        <v>1040</v>
      </c>
      <c r="B120" s="74" t="s">
        <v>1093</v>
      </c>
      <c r="C120" s="75" t="s">
        <v>547</v>
      </c>
      <c r="D120" s="75">
        <v>43504</v>
      </c>
      <c r="E120" s="76">
        <v>43504</v>
      </c>
      <c r="F120" s="75">
        <v>43499</v>
      </c>
      <c r="G120" s="75">
        <v>43505</v>
      </c>
      <c r="H120" s="72">
        <v>1</v>
      </c>
    </row>
    <row r="121" spans="1:8">
      <c r="G121" s="72" t="s">
        <v>943</v>
      </c>
      <c r="H121" s="72">
        <f>SUM(H2:H120)</f>
        <v>263</v>
      </c>
    </row>
  </sheetData>
  <phoneticPr fontId="40" type="noConversion"/>
  <pageMargins left="0.69972223043441772" right="0.69972223043441772" top="0.75" bottom="0.75" header="0.30000001192092896" footer="0.30000001192092896"/>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CF130"/>
  <sheetViews>
    <sheetView tabSelected="1" zoomScaleNormal="100" zoomScaleSheetLayoutView="75" workbookViewId="0">
      <pane ySplit="4" topLeftCell="A15" activePane="bottomLeft" state="frozen"/>
      <selection pane="bottomLeft" activeCell="D5" sqref="D5"/>
    </sheetView>
  </sheetViews>
  <sheetFormatPr defaultColWidth="10" defaultRowHeight="12" outlineLevelRow="5"/>
  <cols>
    <col min="1" max="1" width="19.875" style="89" hidden="1" customWidth="1"/>
    <col min="2" max="2" width="8.375" style="89" hidden="1" customWidth="1"/>
    <col min="3" max="3" width="9.375" style="89" hidden="1" customWidth="1"/>
    <col min="4" max="4" width="10.125" style="2" customWidth="1"/>
    <col min="5" max="9" width="2.375" style="3" customWidth="1"/>
    <col min="10" max="10" width="7.875" style="3" customWidth="1"/>
    <col min="11" max="11" width="33" style="3" customWidth="1"/>
    <col min="12" max="12" width="15.625" style="3" customWidth="1"/>
    <col min="13" max="14" width="8.5" style="4" bestFit="1" customWidth="1"/>
    <col min="15" max="15" width="7.625" style="3" hidden="1" customWidth="1"/>
    <col min="16" max="16" width="6" style="5" bestFit="1" customWidth="1"/>
    <col min="17" max="17" width="5.375" style="5" bestFit="1" customWidth="1"/>
    <col min="18" max="18" width="8.375" style="6" hidden="1" customWidth="1"/>
    <col min="19" max="19" width="4.25" style="6" hidden="1" customWidth="1"/>
    <col min="20" max="20" width="13.125" style="4" hidden="1" customWidth="1"/>
    <col min="21" max="21" width="13.625" style="4" hidden="1" customWidth="1"/>
    <col min="22" max="22" width="8.375" style="7" hidden="1" customWidth="1"/>
    <col min="23" max="23" width="6.625" style="8" hidden="1" customWidth="1"/>
    <col min="24" max="24" width="4.75" style="9" customWidth="1"/>
    <col min="25" max="25" width="9.25" style="3" customWidth="1"/>
    <col min="26" max="26" width="11.5" style="10" customWidth="1"/>
    <col min="27" max="27" width="7" style="11" customWidth="1"/>
    <col min="28" max="28" width="7.125" style="12" customWidth="1"/>
    <col min="29" max="84" width="1.875" style="216" customWidth="1"/>
    <col min="85" max="16384" width="10" style="216"/>
  </cols>
  <sheetData>
    <row r="1" spans="1:84" s="163" customFormat="1" ht="20.100000000000001" customHeight="1">
      <c r="A1" s="107"/>
      <c r="B1" s="117"/>
      <c r="C1" s="108"/>
      <c r="D1" s="109" t="str">
        <f ca="1">xlgantt.ProjectName()</f>
        <v>OOO 프로젝트</v>
      </c>
      <c r="E1" s="110"/>
      <c r="F1" s="110"/>
      <c r="G1" s="110"/>
      <c r="H1" s="110"/>
      <c r="I1" s="110"/>
      <c r="J1" s="110"/>
      <c r="K1" s="110"/>
      <c r="L1" s="110"/>
      <c r="M1" s="110"/>
      <c r="N1" s="111"/>
      <c r="O1" s="112"/>
      <c r="P1" s="113"/>
      <c r="Q1" s="114"/>
      <c r="R1" s="115"/>
      <c r="S1" s="115"/>
      <c r="T1" s="116"/>
      <c r="U1" s="116"/>
      <c r="V1" s="117"/>
      <c r="W1" s="118"/>
      <c r="X1" s="119"/>
      <c r="Y1" s="120"/>
      <c r="Z1" s="120"/>
      <c r="AA1" s="121"/>
      <c r="AB1" s="122" t="str">
        <f ca="1">xlgantt.ProjectProgressString()</f>
        <v>2023-11-11~2023-12-23 [계획:38.30% 실적:15.87%]</v>
      </c>
      <c r="AC1" s="179" t="s">
        <v>367</v>
      </c>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c r="BE1" s="179"/>
      <c r="BF1" s="179"/>
      <c r="BG1" s="179"/>
      <c r="BH1" s="179"/>
      <c r="BI1" s="179"/>
      <c r="BJ1" s="179"/>
      <c r="BK1" s="179"/>
      <c r="BL1" s="179"/>
      <c r="BM1" s="179"/>
      <c r="BN1" s="179"/>
      <c r="BO1" s="179"/>
      <c r="BP1" s="179"/>
      <c r="BQ1" s="179"/>
      <c r="BR1" s="179"/>
      <c r="BS1" s="179"/>
      <c r="BT1" s="179"/>
      <c r="BU1" s="179"/>
      <c r="BV1" s="179"/>
      <c r="BW1" s="179"/>
      <c r="BX1" s="179"/>
      <c r="BY1" s="179"/>
      <c r="BZ1" s="179"/>
      <c r="CA1" s="179"/>
    </row>
    <row r="2" spans="1:84" s="163" customFormat="1" ht="15" customHeight="1">
      <c r="A2" s="123"/>
      <c r="B2" s="123"/>
      <c r="C2" s="124"/>
      <c r="D2" s="180"/>
      <c r="E2" s="180"/>
      <c r="F2" s="180"/>
      <c r="G2" s="125"/>
      <c r="H2" s="126"/>
      <c r="I2" s="125"/>
      <c r="J2" s="125"/>
      <c r="K2" s="125"/>
      <c r="L2" s="125"/>
      <c r="M2" s="125"/>
      <c r="N2" s="125"/>
      <c r="O2" s="125"/>
      <c r="P2" s="125"/>
      <c r="Q2" s="125"/>
      <c r="R2" s="125"/>
      <c r="S2" s="125"/>
      <c r="T2" s="125"/>
      <c r="U2" s="125"/>
      <c r="V2" s="125"/>
      <c r="W2" s="125"/>
      <c r="X2" s="125"/>
      <c r="Y2" s="125"/>
      <c r="Z2" s="127"/>
      <c r="AA2" s="128"/>
      <c r="AB2" s="125" t="str">
        <f ca="1">xlgantt.CommentOnHeadArea()</f>
        <v>별(*)표시는 필수입력, 주황색열은 자동계산</v>
      </c>
      <c r="AC2" s="129" t="s">
        <v>453</v>
      </c>
    </row>
    <row r="3" spans="1:84" s="159" customFormat="1" ht="20.100000000000001" customHeight="1">
      <c r="A3" s="181" t="s">
        <v>1235</v>
      </c>
      <c r="B3" s="183" t="s">
        <v>1236</v>
      </c>
      <c r="C3" s="185" t="s">
        <v>1237</v>
      </c>
      <c r="D3" s="186" t="s">
        <v>1238</v>
      </c>
      <c r="E3" s="187" t="s">
        <v>1239</v>
      </c>
      <c r="F3" s="188"/>
      <c r="G3" s="188"/>
      <c r="H3" s="188"/>
      <c r="I3" s="188"/>
      <c r="J3" s="188"/>
      <c r="K3" s="189"/>
      <c r="L3" s="190" t="s">
        <v>1240</v>
      </c>
      <c r="M3" s="190" t="s">
        <v>1241</v>
      </c>
      <c r="N3" s="190" t="s">
        <v>1242</v>
      </c>
      <c r="O3" s="183" t="s">
        <v>1243</v>
      </c>
      <c r="P3" s="191" t="s">
        <v>1244</v>
      </c>
      <c r="Q3" s="191" t="s">
        <v>1245</v>
      </c>
      <c r="R3" s="191" t="s">
        <v>1246</v>
      </c>
      <c r="S3" s="191" t="s">
        <v>1247</v>
      </c>
      <c r="T3" s="192" t="s">
        <v>1248</v>
      </c>
      <c r="U3" s="192" t="s">
        <v>1249</v>
      </c>
      <c r="V3" s="199" t="s">
        <v>1250</v>
      </c>
      <c r="W3" s="200" t="s">
        <v>1251</v>
      </c>
      <c r="X3" s="201" t="s">
        <v>1252</v>
      </c>
      <c r="Y3" s="190" t="s">
        <v>1253</v>
      </c>
      <c r="Z3" s="183" t="s">
        <v>1254</v>
      </c>
      <c r="AA3" s="197" t="s">
        <v>1255</v>
      </c>
      <c r="AB3" s="198" t="s">
        <v>1256</v>
      </c>
      <c r="AC3" s="193">
        <v>45235</v>
      </c>
      <c r="AD3" s="194"/>
      <c r="AE3" s="194"/>
      <c r="AF3" s="194"/>
      <c r="AG3" s="194">
        <v>45263</v>
      </c>
      <c r="AH3" s="194"/>
      <c r="AI3" s="194"/>
      <c r="AJ3" s="195"/>
    </row>
    <row r="4" spans="1:84" s="213" customFormat="1" ht="5.0999999999999996" customHeight="1">
      <c r="A4" s="182"/>
      <c r="B4" s="184"/>
      <c r="C4" s="181"/>
      <c r="D4" s="186"/>
      <c r="E4" s="187"/>
      <c r="F4" s="188"/>
      <c r="G4" s="188"/>
      <c r="H4" s="188"/>
      <c r="I4" s="188"/>
      <c r="J4" s="188"/>
      <c r="K4" s="189"/>
      <c r="L4" s="190"/>
      <c r="M4" s="190"/>
      <c r="N4" s="190"/>
      <c r="O4" s="183"/>
      <c r="P4" s="191"/>
      <c r="Q4" s="191"/>
      <c r="R4" s="191"/>
      <c r="S4" s="191"/>
      <c r="T4" s="190"/>
      <c r="U4" s="190"/>
      <c r="V4" s="199"/>
      <c r="W4" s="200"/>
      <c r="X4" s="201"/>
      <c r="Y4" s="190"/>
      <c r="Z4" s="183"/>
      <c r="AA4" s="197"/>
      <c r="AB4" s="198"/>
      <c r="AC4" s="160">
        <v>45235</v>
      </c>
      <c r="AD4" s="161">
        <v>45242</v>
      </c>
      <c r="AE4" s="161">
        <v>45249</v>
      </c>
      <c r="AF4" s="161">
        <v>45256</v>
      </c>
      <c r="AG4" s="161">
        <v>45263</v>
      </c>
      <c r="AH4" s="161">
        <v>45270</v>
      </c>
      <c r="AI4" s="161">
        <v>45277</v>
      </c>
      <c r="AJ4" s="162">
        <v>45284</v>
      </c>
      <c r="AK4" s="211"/>
      <c r="AL4" s="212"/>
      <c r="AM4" s="212"/>
      <c r="AN4" s="212"/>
      <c r="AO4" s="212"/>
      <c r="AP4" s="212"/>
      <c r="AQ4" s="212"/>
      <c r="AR4" s="212"/>
      <c r="AS4" s="212"/>
      <c r="AT4" s="212"/>
      <c r="AU4" s="212"/>
      <c r="AV4" s="212"/>
      <c r="AW4" s="212"/>
      <c r="AX4" s="212"/>
      <c r="AY4" s="212"/>
      <c r="AZ4" s="212"/>
      <c r="BA4" s="212"/>
      <c r="BB4" s="212"/>
      <c r="BC4" s="212"/>
      <c r="BD4" s="212"/>
      <c r="BE4" s="212"/>
      <c r="BF4" s="212"/>
      <c r="BG4" s="212"/>
      <c r="BH4" s="212"/>
      <c r="BI4" s="212"/>
      <c r="BJ4" s="212"/>
      <c r="BK4" s="212"/>
      <c r="BL4" s="212"/>
      <c r="BM4" s="212"/>
      <c r="BN4" s="212"/>
      <c r="BO4" s="212"/>
      <c r="BP4" s="212"/>
      <c r="BQ4" s="212"/>
      <c r="BR4" s="212"/>
      <c r="BS4" s="212"/>
      <c r="BT4" s="212"/>
      <c r="BU4" s="212"/>
      <c r="BV4" s="212"/>
      <c r="BW4" s="212"/>
      <c r="BX4" s="212"/>
      <c r="BY4" s="212"/>
      <c r="BZ4" s="212"/>
      <c r="CA4" s="212"/>
      <c r="CB4" s="212"/>
      <c r="CC4" s="212"/>
      <c r="CD4" s="212"/>
      <c r="CE4" s="212"/>
      <c r="CF4" s="212"/>
    </row>
    <row r="5" spans="1:84" ht="16.5">
      <c r="A5" s="164"/>
      <c r="B5" s="164" t="s">
        <v>549</v>
      </c>
      <c r="C5" s="164">
        <v>1</v>
      </c>
      <c r="D5" s="165" t="s">
        <v>609</v>
      </c>
      <c r="E5" s="166" t="s">
        <v>999</v>
      </c>
      <c r="F5" s="166"/>
      <c r="G5" s="166"/>
      <c r="H5" s="166"/>
      <c r="I5" s="166"/>
      <c r="J5" s="166"/>
      <c r="K5" s="166"/>
      <c r="L5" s="166"/>
      <c r="M5" s="167">
        <v>45241</v>
      </c>
      <c r="N5" s="167">
        <v>45283</v>
      </c>
      <c r="O5" s="166"/>
      <c r="P5" s="168">
        <v>29</v>
      </c>
      <c r="Q5" s="168">
        <v>9</v>
      </c>
      <c r="R5" s="169">
        <v>30</v>
      </c>
      <c r="S5" s="169">
        <v>5</v>
      </c>
      <c r="T5" s="167"/>
      <c r="U5" s="167"/>
      <c r="V5" s="170">
        <v>0</v>
      </c>
      <c r="W5" s="171">
        <v>0</v>
      </c>
      <c r="X5" s="172"/>
      <c r="Y5" s="166"/>
      <c r="Z5" s="173"/>
      <c r="AA5" s="176">
        <v>0.31034482758620691</v>
      </c>
      <c r="AB5" s="176">
        <v>0.17241379310344829</v>
      </c>
      <c r="AC5" s="214"/>
      <c r="AD5" s="215" t="str">
        <f>"      " &amp; TEXT(AB5,"#0.00%") &amp; " "</f>
        <v xml:space="preserve">      17.24% </v>
      </c>
      <c r="AE5" s="215"/>
      <c r="AF5" s="215"/>
      <c r="AG5" s="215"/>
      <c r="AH5" s="215"/>
      <c r="AI5" s="215"/>
      <c r="AJ5" s="215" t="str">
        <f>"" &amp; "프로젝트 관리" &amp; " " &amp; IF(M5="","",TEXT(M5,"M/D-")) &amp; IF(N5="","",TEXT(N5,"M/D")) &amp; " "</f>
        <v xml:space="preserve">프로젝트 관리 11/11-12/23 </v>
      </c>
      <c r="AK5" s="215"/>
      <c r="AL5" s="215"/>
      <c r="AM5" s="215"/>
      <c r="AN5" s="215"/>
      <c r="AO5" s="215"/>
      <c r="AP5" s="215"/>
      <c r="AQ5" s="215"/>
      <c r="AR5" s="215"/>
      <c r="AS5" s="215"/>
      <c r="AT5" s="215"/>
      <c r="AU5" s="215"/>
      <c r="AV5" s="215"/>
      <c r="AW5" s="215"/>
      <c r="AX5" s="215"/>
      <c r="AY5" s="215"/>
      <c r="AZ5" s="215"/>
      <c r="BA5" s="215"/>
      <c r="BB5" s="215"/>
      <c r="BC5" s="215"/>
      <c r="BD5" s="215"/>
      <c r="BE5" s="215"/>
      <c r="BF5" s="215"/>
      <c r="BG5" s="215"/>
      <c r="BH5" s="215"/>
      <c r="BI5" s="215"/>
      <c r="BJ5" s="215"/>
      <c r="BK5" s="215"/>
      <c r="BL5" s="215"/>
      <c r="BM5" s="215"/>
      <c r="BN5" s="215"/>
      <c r="BO5" s="215"/>
      <c r="BP5" s="215"/>
      <c r="BQ5" s="215"/>
      <c r="BR5" s="215"/>
      <c r="BS5" s="215"/>
      <c r="BT5" s="215"/>
      <c r="BU5" s="215"/>
      <c r="BV5" s="215"/>
      <c r="BW5" s="215"/>
      <c r="BX5" s="215"/>
      <c r="BY5" s="215"/>
      <c r="BZ5" s="215"/>
      <c r="CA5" s="215"/>
      <c r="CB5" s="215"/>
      <c r="CC5" s="215"/>
      <c r="CD5" s="215"/>
      <c r="CE5" s="215"/>
      <c r="CF5" s="215"/>
    </row>
    <row r="6" spans="1:84" ht="16.5" outlineLevel="1">
      <c r="A6" s="164"/>
      <c r="B6" s="164" t="s">
        <v>549</v>
      </c>
      <c r="C6" s="164">
        <v>2</v>
      </c>
      <c r="D6" s="165" t="s">
        <v>597</v>
      </c>
      <c r="E6" s="166"/>
      <c r="F6" s="166" t="s">
        <v>239</v>
      </c>
      <c r="G6" s="166"/>
      <c r="H6" s="166"/>
      <c r="I6" s="166"/>
      <c r="J6" s="166"/>
      <c r="K6" s="166"/>
      <c r="L6" s="166"/>
      <c r="M6" s="167">
        <v>45241</v>
      </c>
      <c r="N6" s="167">
        <v>45248</v>
      </c>
      <c r="O6" s="166"/>
      <c r="P6" s="168">
        <v>5</v>
      </c>
      <c r="Q6" s="168">
        <v>5</v>
      </c>
      <c r="R6" s="169">
        <v>5</v>
      </c>
      <c r="S6" s="169">
        <v>5</v>
      </c>
      <c r="T6" s="167"/>
      <c r="U6" s="167"/>
      <c r="V6" s="170">
        <v>0</v>
      </c>
      <c r="W6" s="171">
        <v>0</v>
      </c>
      <c r="X6" s="172"/>
      <c r="Y6" s="166"/>
      <c r="Z6" s="173"/>
      <c r="AA6" s="176">
        <v>1</v>
      </c>
      <c r="AB6" s="176">
        <v>1</v>
      </c>
      <c r="AC6" s="214"/>
      <c r="AD6" s="215"/>
      <c r="AE6" s="215" t="str">
        <f>"" &amp; TEXT(AB6,"#0.00%") &amp; " " &amp; "프로젝트 착수 및 계획수립" &amp; " " &amp; IF(M6="","",TEXT(M6,"M/D-")) &amp; IF(N6="","",TEXT(N6,"M/D")) &amp; " "</f>
        <v xml:space="preserve">100.00% 프로젝트 착수 및 계획수립 11/11-11/18 </v>
      </c>
      <c r="AF6" s="215"/>
      <c r="AG6" s="215"/>
      <c r="AH6" s="215"/>
      <c r="AI6" s="215"/>
      <c r="AJ6" s="215"/>
      <c r="AK6" s="215"/>
      <c r="AL6" s="215"/>
      <c r="AM6" s="215"/>
      <c r="AN6" s="215"/>
      <c r="AO6" s="215"/>
      <c r="AP6" s="215"/>
      <c r="AQ6" s="215"/>
      <c r="AR6" s="215"/>
      <c r="AS6" s="215"/>
      <c r="AT6" s="215"/>
      <c r="AU6" s="215"/>
      <c r="AV6" s="215"/>
      <c r="AW6" s="215"/>
      <c r="AX6" s="215"/>
      <c r="AY6" s="215"/>
      <c r="AZ6" s="215"/>
      <c r="BA6" s="215"/>
      <c r="BB6" s="215"/>
      <c r="BC6" s="215"/>
      <c r="BD6" s="215"/>
      <c r="BE6" s="215"/>
      <c r="BF6" s="215"/>
      <c r="BG6" s="215"/>
      <c r="BH6" s="215"/>
      <c r="BI6" s="215"/>
      <c r="BJ6" s="215"/>
      <c r="BK6" s="215"/>
      <c r="BL6" s="215"/>
      <c r="BM6" s="215"/>
      <c r="BN6" s="215"/>
      <c r="BO6" s="215"/>
      <c r="BP6" s="215"/>
      <c r="BQ6" s="215"/>
      <c r="BR6" s="215"/>
      <c r="BS6" s="215"/>
      <c r="BT6" s="215"/>
      <c r="BU6" s="215"/>
      <c r="BV6" s="215"/>
      <c r="BW6" s="215"/>
      <c r="BX6" s="215"/>
      <c r="BY6" s="215"/>
      <c r="BZ6" s="215"/>
      <c r="CA6" s="215"/>
      <c r="CB6" s="215"/>
      <c r="CC6" s="215"/>
      <c r="CD6" s="215"/>
      <c r="CE6" s="215"/>
      <c r="CF6" s="215"/>
    </row>
    <row r="7" spans="1:84" ht="16.5" outlineLevel="2">
      <c r="A7" s="164"/>
      <c r="B7" s="164"/>
      <c r="C7" s="164">
        <v>3</v>
      </c>
      <c r="D7" s="165" t="s">
        <v>985</v>
      </c>
      <c r="E7" s="166"/>
      <c r="F7" s="166"/>
      <c r="G7" s="166" t="s">
        <v>942</v>
      </c>
      <c r="H7" s="166"/>
      <c r="I7" s="166"/>
      <c r="J7" s="166"/>
      <c r="K7" s="166"/>
      <c r="L7" s="166"/>
      <c r="M7" s="167">
        <v>45241</v>
      </c>
      <c r="N7" s="167">
        <v>45241</v>
      </c>
      <c r="O7" s="166"/>
      <c r="P7" s="168">
        <v>0</v>
      </c>
      <c r="Q7" s="168">
        <v>0</v>
      </c>
      <c r="R7" s="169">
        <v>0</v>
      </c>
      <c r="S7" s="169">
        <v>0</v>
      </c>
      <c r="T7" s="167">
        <v>45131</v>
      </c>
      <c r="U7" s="167">
        <v>45132</v>
      </c>
      <c r="V7" s="170">
        <v>2</v>
      </c>
      <c r="W7" s="171">
        <v>2</v>
      </c>
      <c r="X7" s="172">
        <v>1</v>
      </c>
      <c r="Y7" s="166"/>
      <c r="Z7" s="173"/>
      <c r="AA7" s="176">
        <v>0</v>
      </c>
      <c r="AB7" s="176">
        <v>1</v>
      </c>
      <c r="AC7" s="214"/>
      <c r="AD7" s="215" t="str">
        <f>"" &amp; TEXT(AB7,"#0.00%") &amp; " " &amp; "프로젝트 착수" &amp; " " &amp; IF(M7="","",TEXT(M7,"M/D-")) &amp; IF(N7="","",TEXT(N7,"M/D")) &amp; " "</f>
        <v xml:space="preserve">100.00% 프로젝트 착수 11/11-11/11 </v>
      </c>
      <c r="AE7" s="215"/>
      <c r="AF7" s="215"/>
      <c r="AG7" s="215"/>
      <c r="AH7" s="215"/>
      <c r="AI7" s="215"/>
      <c r="AJ7" s="215"/>
      <c r="AK7" s="215"/>
      <c r="AL7" s="215"/>
      <c r="AM7" s="215"/>
      <c r="AN7" s="215"/>
      <c r="AO7" s="215"/>
      <c r="AP7" s="215"/>
      <c r="AQ7" s="215"/>
      <c r="AR7" s="215"/>
      <c r="AS7" s="215"/>
      <c r="AT7" s="215"/>
      <c r="AU7" s="215"/>
      <c r="AV7" s="215"/>
      <c r="AW7" s="215"/>
      <c r="AX7" s="215"/>
      <c r="AY7" s="215"/>
      <c r="AZ7" s="215"/>
      <c r="BA7" s="215"/>
      <c r="BB7" s="215"/>
      <c r="BC7" s="215"/>
      <c r="BD7" s="215"/>
      <c r="BE7" s="215"/>
      <c r="BF7" s="215"/>
      <c r="BG7" s="215"/>
      <c r="BH7" s="215"/>
      <c r="BI7" s="215"/>
      <c r="BJ7" s="215"/>
      <c r="BK7" s="215"/>
      <c r="BL7" s="215"/>
      <c r="BM7" s="215"/>
      <c r="BN7" s="215"/>
      <c r="BO7" s="215"/>
      <c r="BP7" s="215"/>
      <c r="BQ7" s="215"/>
      <c r="BR7" s="215"/>
      <c r="BS7" s="215"/>
      <c r="BT7" s="215"/>
      <c r="BU7" s="215"/>
      <c r="BV7" s="215"/>
      <c r="BW7" s="215"/>
      <c r="BX7" s="215"/>
      <c r="BY7" s="215"/>
      <c r="BZ7" s="215"/>
      <c r="CA7" s="215"/>
      <c r="CB7" s="215"/>
      <c r="CC7" s="215"/>
      <c r="CD7" s="215"/>
      <c r="CE7" s="215"/>
      <c r="CF7" s="215"/>
    </row>
    <row r="8" spans="1:84" ht="16.5" outlineLevel="2">
      <c r="A8" s="164"/>
      <c r="B8" s="164" t="s">
        <v>549</v>
      </c>
      <c r="C8" s="164">
        <v>3</v>
      </c>
      <c r="D8" s="165" t="s">
        <v>1050</v>
      </c>
      <c r="E8" s="166"/>
      <c r="F8" s="166"/>
      <c r="G8" s="166" t="s">
        <v>753</v>
      </c>
      <c r="H8" s="166"/>
      <c r="I8" s="166"/>
      <c r="J8" s="166"/>
      <c r="K8" s="166"/>
      <c r="L8" s="166"/>
      <c r="M8" s="167">
        <v>45241</v>
      </c>
      <c r="N8" s="167">
        <v>45248</v>
      </c>
      <c r="O8" s="166"/>
      <c r="P8" s="168">
        <v>5</v>
      </c>
      <c r="Q8" s="168">
        <v>5</v>
      </c>
      <c r="R8" s="169">
        <v>5</v>
      </c>
      <c r="S8" s="169">
        <v>5</v>
      </c>
      <c r="T8" s="167"/>
      <c r="U8" s="167"/>
      <c r="V8" s="170">
        <v>0</v>
      </c>
      <c r="W8" s="171">
        <v>0</v>
      </c>
      <c r="X8" s="172"/>
      <c r="Y8" s="166"/>
      <c r="Z8" s="173"/>
      <c r="AA8" s="176">
        <v>1</v>
      </c>
      <c r="AB8" s="176">
        <v>1</v>
      </c>
      <c r="AC8" s="214"/>
      <c r="AD8" s="215"/>
      <c r="AE8" s="215" t="str">
        <f>"" &amp; TEXT(AB8,"#0.00%") &amp; " " &amp; "프로젝트 범위정의" &amp; " " &amp; IF(M8="","",TEXT(M8,"M/D-")) &amp; IF(N8="","",TEXT(N8,"M/D")) &amp; " "</f>
        <v xml:space="preserve">100.00% 프로젝트 범위정의 11/11-11/18 </v>
      </c>
      <c r="AF8" s="215"/>
      <c r="AG8" s="215"/>
      <c r="AH8" s="215"/>
      <c r="AI8" s="215"/>
      <c r="AJ8" s="215"/>
      <c r="AK8" s="215"/>
      <c r="AL8" s="215"/>
      <c r="AM8" s="215"/>
      <c r="AN8" s="215"/>
      <c r="AO8" s="215"/>
      <c r="AP8" s="215"/>
      <c r="AQ8" s="215"/>
      <c r="AR8" s="215"/>
      <c r="AS8" s="215"/>
      <c r="AT8" s="215"/>
      <c r="AU8" s="215"/>
      <c r="AV8" s="215"/>
      <c r="AW8" s="215"/>
      <c r="AX8" s="215"/>
      <c r="AY8" s="215"/>
      <c r="AZ8" s="215"/>
      <c r="BA8" s="215"/>
      <c r="BB8" s="215"/>
      <c r="BC8" s="215"/>
      <c r="BD8" s="215"/>
      <c r="BE8" s="215"/>
      <c r="BF8" s="215"/>
      <c r="BG8" s="215"/>
      <c r="BH8" s="215"/>
      <c r="BI8" s="215"/>
      <c r="BJ8" s="215"/>
      <c r="BK8" s="215"/>
      <c r="BL8" s="215"/>
      <c r="BM8" s="215"/>
      <c r="BN8" s="215"/>
      <c r="BO8" s="215"/>
      <c r="BP8" s="215"/>
      <c r="BQ8" s="215"/>
      <c r="BR8" s="215"/>
      <c r="BS8" s="215"/>
      <c r="BT8" s="215"/>
      <c r="BU8" s="215"/>
      <c r="BV8" s="215"/>
      <c r="BW8" s="215"/>
      <c r="BX8" s="215"/>
      <c r="BY8" s="215"/>
      <c r="BZ8" s="215"/>
      <c r="CA8" s="215"/>
      <c r="CB8" s="215"/>
      <c r="CC8" s="215"/>
      <c r="CD8" s="215"/>
      <c r="CE8" s="215"/>
      <c r="CF8" s="215"/>
    </row>
    <row r="9" spans="1:84" ht="16.5" outlineLevel="3">
      <c r="A9" s="164"/>
      <c r="B9" s="164"/>
      <c r="C9" s="164">
        <v>4</v>
      </c>
      <c r="D9" s="165" t="s">
        <v>986</v>
      </c>
      <c r="E9" s="166"/>
      <c r="F9" s="166"/>
      <c r="G9" s="166"/>
      <c r="H9" s="166" t="s">
        <v>226</v>
      </c>
      <c r="I9" s="166"/>
      <c r="J9" s="166"/>
      <c r="K9" s="166"/>
      <c r="L9" s="166"/>
      <c r="M9" s="167">
        <v>45241</v>
      </c>
      <c r="N9" s="167">
        <v>45247</v>
      </c>
      <c r="O9" s="166"/>
      <c r="P9" s="168">
        <v>5</v>
      </c>
      <c r="Q9" s="168">
        <v>5</v>
      </c>
      <c r="R9" s="169">
        <v>5</v>
      </c>
      <c r="S9" s="169">
        <v>5</v>
      </c>
      <c r="T9" s="167">
        <v>45135</v>
      </c>
      <c r="U9" s="167">
        <v>45141</v>
      </c>
      <c r="V9" s="170">
        <v>5</v>
      </c>
      <c r="W9" s="171">
        <v>5</v>
      </c>
      <c r="X9" s="172">
        <v>1</v>
      </c>
      <c r="Y9" s="166"/>
      <c r="Z9" s="173" t="s">
        <v>266</v>
      </c>
      <c r="AA9" s="176">
        <v>1</v>
      </c>
      <c r="AB9" s="176">
        <v>1</v>
      </c>
      <c r="AC9" s="214"/>
      <c r="AD9" s="215" t="str">
        <f>"      " &amp; TEXT(AB9,"#0.00%") &amp; " " &amp; "1차 프로젝트 계획 수립" &amp; " " &amp; IF(M9="","",TEXT(M9,"M/D-")) &amp; IF(N9="","",TEXT(N9,"M/D")) &amp; " "</f>
        <v xml:space="preserve">      100.00% 1차 프로젝트 계획 수립 11/11-11/17 </v>
      </c>
      <c r="AE9" s="215"/>
      <c r="AF9" s="215"/>
      <c r="AG9" s="215"/>
      <c r="AH9" s="215"/>
      <c r="AI9" s="215"/>
      <c r="AJ9" s="215"/>
      <c r="AK9" s="215"/>
      <c r="AL9" s="215"/>
      <c r="AM9" s="215"/>
      <c r="AN9" s="215"/>
      <c r="AO9" s="215"/>
      <c r="AP9" s="215"/>
      <c r="AQ9" s="215"/>
      <c r="AR9" s="215"/>
      <c r="AS9" s="215"/>
      <c r="AT9" s="215"/>
      <c r="AU9" s="215"/>
      <c r="AV9" s="215"/>
      <c r="AW9" s="215"/>
      <c r="AX9" s="215"/>
      <c r="AY9" s="215"/>
      <c r="AZ9" s="215"/>
      <c r="BA9" s="215"/>
      <c r="BB9" s="215"/>
      <c r="BC9" s="215"/>
      <c r="BD9" s="215"/>
      <c r="BE9" s="215"/>
      <c r="BF9" s="215"/>
      <c r="BG9" s="215"/>
      <c r="BH9" s="215"/>
      <c r="BI9" s="215"/>
      <c r="BJ9" s="215"/>
      <c r="BK9" s="215"/>
      <c r="BL9" s="215"/>
      <c r="BM9" s="215"/>
      <c r="BN9" s="215"/>
      <c r="BO9" s="215"/>
      <c r="BP9" s="215"/>
      <c r="BQ9" s="215"/>
      <c r="BR9" s="215"/>
      <c r="BS9" s="215"/>
      <c r="BT9" s="215"/>
      <c r="BU9" s="215"/>
      <c r="BV9" s="215"/>
      <c r="BW9" s="215"/>
      <c r="BX9" s="215"/>
      <c r="BY9" s="215"/>
      <c r="BZ9" s="215"/>
      <c r="CA9" s="215"/>
      <c r="CB9" s="215"/>
      <c r="CC9" s="215"/>
      <c r="CD9" s="215"/>
      <c r="CE9" s="215"/>
      <c r="CF9" s="215"/>
    </row>
    <row r="10" spans="1:84" ht="16.5" outlineLevel="3">
      <c r="A10" s="164"/>
      <c r="B10" s="164"/>
      <c r="C10" s="164">
        <v>4</v>
      </c>
      <c r="D10" s="165" t="s">
        <v>996</v>
      </c>
      <c r="E10" s="166"/>
      <c r="F10" s="166"/>
      <c r="G10" s="166"/>
      <c r="H10" s="166" t="s">
        <v>1172</v>
      </c>
      <c r="I10" s="166"/>
      <c r="J10" s="166"/>
      <c r="K10" s="166"/>
      <c r="L10" s="166"/>
      <c r="M10" s="167">
        <v>45248</v>
      </c>
      <c r="N10" s="167">
        <v>45248</v>
      </c>
      <c r="O10" s="166"/>
      <c r="P10" s="168">
        <v>0</v>
      </c>
      <c r="Q10" s="168">
        <v>0</v>
      </c>
      <c r="R10" s="169">
        <v>0</v>
      </c>
      <c r="S10" s="169">
        <v>0</v>
      </c>
      <c r="T10" s="167"/>
      <c r="U10" s="167"/>
      <c r="V10" s="170"/>
      <c r="W10" s="171">
        <v>0</v>
      </c>
      <c r="X10" s="172">
        <v>1</v>
      </c>
      <c r="Y10" s="166"/>
      <c r="Z10" s="173"/>
      <c r="AA10" s="176">
        <v>0</v>
      </c>
      <c r="AB10" s="176">
        <v>0</v>
      </c>
      <c r="AC10" s="214"/>
      <c r="AD10" s="215" t="str">
        <f>"      " &amp; TEXT(AB10,"#0.00%") &amp; " " &amp; "2차 프로젝트 계획 수립 및 착수보고(Kick off)" &amp; " " &amp; IF(M10="","",TEXT(M10,"M/D-")) &amp; IF(N10="","",TEXT(N10,"M/D")) &amp; " "</f>
        <v xml:space="preserve">      0.00% 2차 프로젝트 계획 수립 및 착수보고(Kick off) 11/18-11/18 </v>
      </c>
      <c r="AE10" s="215"/>
      <c r="AF10" s="215"/>
      <c r="AG10" s="215"/>
      <c r="AH10" s="215"/>
      <c r="AI10" s="215"/>
      <c r="AJ10" s="215"/>
      <c r="AK10" s="215"/>
      <c r="AL10" s="215"/>
      <c r="AM10" s="215"/>
      <c r="AN10" s="215"/>
      <c r="AO10" s="215"/>
      <c r="AP10" s="215"/>
      <c r="AQ10" s="215"/>
      <c r="AR10" s="215"/>
      <c r="AS10" s="215"/>
      <c r="AT10" s="215"/>
      <c r="AU10" s="215"/>
      <c r="AV10" s="215"/>
      <c r="AW10" s="215"/>
      <c r="AX10" s="215"/>
      <c r="AY10" s="215"/>
      <c r="AZ10" s="215"/>
      <c r="BA10" s="215"/>
      <c r="BB10" s="215"/>
      <c r="BC10" s="215"/>
      <c r="BD10" s="215"/>
      <c r="BE10" s="215"/>
      <c r="BF10" s="215"/>
      <c r="BG10" s="215"/>
      <c r="BH10" s="215"/>
      <c r="BI10" s="215"/>
      <c r="BJ10" s="215"/>
      <c r="BK10" s="215"/>
      <c r="BL10" s="215"/>
      <c r="BM10" s="215"/>
      <c r="BN10" s="215"/>
      <c r="BO10" s="215"/>
      <c r="BP10" s="215"/>
      <c r="BQ10" s="215"/>
      <c r="BR10" s="215"/>
      <c r="BS10" s="215"/>
      <c r="BT10" s="215"/>
      <c r="BU10" s="215"/>
      <c r="BV10" s="215"/>
      <c r="BW10" s="215"/>
      <c r="BX10" s="215"/>
      <c r="BY10" s="215"/>
      <c r="BZ10" s="215"/>
      <c r="CA10" s="215"/>
      <c r="CB10" s="215"/>
      <c r="CC10" s="215"/>
      <c r="CD10" s="215"/>
      <c r="CE10" s="215"/>
      <c r="CF10" s="215"/>
    </row>
    <row r="11" spans="1:84" ht="16.5" outlineLevel="1">
      <c r="A11" s="164"/>
      <c r="B11" s="164" t="s">
        <v>549</v>
      </c>
      <c r="C11" s="164">
        <v>2</v>
      </c>
      <c r="D11" s="165" t="s">
        <v>606</v>
      </c>
      <c r="E11" s="166"/>
      <c r="F11" s="166" t="s">
        <v>256</v>
      </c>
      <c r="G11" s="166"/>
      <c r="H11" s="166"/>
      <c r="I11" s="166"/>
      <c r="J11" s="166"/>
      <c r="K11" s="166"/>
      <c r="L11" s="166"/>
      <c r="M11" s="167">
        <v>45244</v>
      </c>
      <c r="N11" s="167">
        <v>45276</v>
      </c>
      <c r="O11" s="166"/>
      <c r="P11" s="168">
        <v>20</v>
      </c>
      <c r="Q11" s="168">
        <v>4</v>
      </c>
      <c r="R11" s="169">
        <v>24</v>
      </c>
      <c r="S11" s="169">
        <v>4</v>
      </c>
      <c r="T11" s="167"/>
      <c r="U11" s="167"/>
      <c r="V11" s="170">
        <v>0</v>
      </c>
      <c r="W11" s="171">
        <v>0</v>
      </c>
      <c r="X11" s="172"/>
      <c r="Y11" s="166"/>
      <c r="Z11" s="173"/>
      <c r="AA11" s="176">
        <v>0.2</v>
      </c>
      <c r="AB11" s="176">
        <v>0</v>
      </c>
      <c r="AC11" s="214"/>
      <c r="AD11" s="215" t="str">
        <f>"  " &amp; TEXT(AB11,"#0.00%") &amp; " "</f>
        <v xml:space="preserve">  0.00% </v>
      </c>
      <c r="AE11" s="215"/>
      <c r="AF11" s="215"/>
      <c r="AG11" s="215"/>
      <c r="AH11" s="215"/>
      <c r="AI11" s="215" t="str">
        <f>"" &amp; "프로젝트 수행 및 통제" &amp; " " &amp; IF(M11="","",TEXT(M11,"M/D-")) &amp; IF(N11="","",TEXT(N11,"M/D")) &amp; " "</f>
        <v xml:space="preserve">프로젝트 수행 및 통제 11/14-12/16 </v>
      </c>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c r="BO11" s="215"/>
      <c r="BP11" s="215"/>
      <c r="BQ11" s="215"/>
      <c r="BR11" s="215"/>
      <c r="BS11" s="215"/>
      <c r="BT11" s="215"/>
      <c r="BU11" s="215"/>
      <c r="BV11" s="215"/>
      <c r="BW11" s="215"/>
      <c r="BX11" s="215"/>
      <c r="BY11" s="215"/>
      <c r="BZ11" s="215"/>
      <c r="CA11" s="215"/>
      <c r="CB11" s="215"/>
      <c r="CC11" s="215"/>
      <c r="CD11" s="215"/>
      <c r="CE11" s="215"/>
      <c r="CF11" s="215"/>
    </row>
    <row r="12" spans="1:84" ht="16.5" outlineLevel="2">
      <c r="A12" s="164"/>
      <c r="B12" s="164"/>
      <c r="C12" s="164">
        <v>3</v>
      </c>
      <c r="D12" s="165" t="s">
        <v>957</v>
      </c>
      <c r="E12" s="166"/>
      <c r="F12" s="166"/>
      <c r="G12" s="166" t="s">
        <v>1137</v>
      </c>
      <c r="H12" s="166"/>
      <c r="I12" s="166"/>
      <c r="J12" s="166"/>
      <c r="K12" s="166" t="s">
        <v>519</v>
      </c>
      <c r="L12" s="166" t="s">
        <v>467</v>
      </c>
      <c r="M12" s="167">
        <v>45244</v>
      </c>
      <c r="N12" s="167">
        <v>45248</v>
      </c>
      <c r="O12" s="166"/>
      <c r="P12" s="168">
        <v>4</v>
      </c>
      <c r="Q12" s="168">
        <v>4</v>
      </c>
      <c r="R12" s="169">
        <v>4</v>
      </c>
      <c r="S12" s="169">
        <v>4</v>
      </c>
      <c r="T12" s="167">
        <v>45156</v>
      </c>
      <c r="U12" s="167">
        <v>45160</v>
      </c>
      <c r="V12" s="170">
        <v>3</v>
      </c>
      <c r="W12" s="171">
        <v>3</v>
      </c>
      <c r="X12" s="172">
        <v>1</v>
      </c>
      <c r="Y12" s="166"/>
      <c r="Z12" s="173"/>
      <c r="AA12" s="176">
        <v>1</v>
      </c>
      <c r="AB12" s="176">
        <v>0</v>
      </c>
      <c r="AC12" s="214"/>
      <c r="AD12" s="215" t="str">
        <f>"  " &amp; TEXT(AB12,"#0.00%") &amp; " " &amp; "주간보고1" &amp; " " &amp; IF(M12="","",TEXT(M12,"M/D-")) &amp; IF(N12="","",TEXT(N12,"M/D")) &amp; " "</f>
        <v xml:space="preserve">  0.00% 주간보고1 11/14-11/18 </v>
      </c>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215"/>
      <c r="BJ12" s="215"/>
      <c r="BK12" s="215"/>
      <c r="BL12" s="215"/>
      <c r="BM12" s="215"/>
      <c r="BN12" s="215"/>
      <c r="BO12" s="215"/>
      <c r="BP12" s="215"/>
      <c r="BQ12" s="215"/>
      <c r="BR12" s="215"/>
      <c r="BS12" s="215"/>
      <c r="BT12" s="215"/>
      <c r="BU12" s="215"/>
      <c r="BV12" s="215"/>
      <c r="BW12" s="215"/>
      <c r="BX12" s="215"/>
      <c r="BY12" s="215"/>
      <c r="BZ12" s="215"/>
      <c r="CA12" s="215"/>
      <c r="CB12" s="215"/>
      <c r="CC12" s="215"/>
      <c r="CD12" s="215"/>
      <c r="CE12" s="215"/>
      <c r="CF12" s="215"/>
    </row>
    <row r="13" spans="1:84" ht="16.5" outlineLevel="2">
      <c r="A13" s="164"/>
      <c r="B13" s="164"/>
      <c r="C13" s="164">
        <v>3</v>
      </c>
      <c r="D13" s="165" t="s">
        <v>960</v>
      </c>
      <c r="E13" s="166"/>
      <c r="F13" s="166"/>
      <c r="G13" s="166" t="s">
        <v>1098</v>
      </c>
      <c r="H13" s="166"/>
      <c r="I13" s="166"/>
      <c r="J13" s="166"/>
      <c r="K13" s="166" t="s">
        <v>182</v>
      </c>
      <c r="L13" s="166" t="s">
        <v>710</v>
      </c>
      <c r="M13" s="167">
        <v>45251</v>
      </c>
      <c r="N13" s="167">
        <v>45255</v>
      </c>
      <c r="O13" s="166"/>
      <c r="P13" s="168">
        <v>4</v>
      </c>
      <c r="Q13" s="168">
        <v>0</v>
      </c>
      <c r="R13" s="169">
        <v>4</v>
      </c>
      <c r="S13" s="169">
        <v>0</v>
      </c>
      <c r="T13" s="167"/>
      <c r="U13" s="167"/>
      <c r="V13" s="170"/>
      <c r="W13" s="171">
        <v>0</v>
      </c>
      <c r="X13" s="172">
        <v>1</v>
      </c>
      <c r="Y13" s="166"/>
      <c r="Z13" s="173"/>
      <c r="AA13" s="176">
        <v>0</v>
      </c>
      <c r="AB13" s="176">
        <v>0</v>
      </c>
      <c r="AC13" s="214"/>
      <c r="AD13" s="215"/>
      <c r="AE13" s="215" t="str">
        <f>"  " &amp; TEXT(AB13,"#0.00%") &amp; " " &amp; "주간보고2" &amp; " " &amp; IF(M13="","",TEXT(M13,"M/D-")) &amp; IF(N13="","",TEXT(N13,"M/D")) &amp; " "</f>
        <v xml:space="preserve">  0.00% 주간보고2 11/21-11/25 </v>
      </c>
      <c r="AF13" s="215"/>
      <c r="AG13" s="215"/>
      <c r="AH13" s="215"/>
      <c r="AI13" s="215"/>
      <c r="AJ13" s="215"/>
      <c r="AK13" s="215"/>
      <c r="AL13" s="215"/>
      <c r="AM13" s="215"/>
      <c r="AN13" s="215"/>
      <c r="AO13" s="215"/>
      <c r="AP13" s="215"/>
      <c r="AQ13" s="215"/>
      <c r="AR13" s="215"/>
      <c r="AS13" s="215"/>
      <c r="AT13" s="215"/>
      <c r="AU13" s="215"/>
      <c r="AV13" s="215"/>
      <c r="AW13" s="215"/>
      <c r="AX13" s="215"/>
      <c r="AY13" s="215"/>
      <c r="AZ13" s="215"/>
      <c r="BA13" s="215"/>
      <c r="BB13" s="215"/>
      <c r="BC13" s="215"/>
      <c r="BD13" s="215"/>
      <c r="BE13" s="215"/>
      <c r="BF13" s="215"/>
      <c r="BG13" s="215"/>
      <c r="BH13" s="215"/>
      <c r="BI13" s="215"/>
      <c r="BJ13" s="215"/>
      <c r="BK13" s="215"/>
      <c r="BL13" s="215"/>
      <c r="BM13" s="215"/>
      <c r="BN13" s="215"/>
      <c r="BO13" s="215"/>
      <c r="BP13" s="215"/>
      <c r="BQ13" s="215"/>
      <c r="BR13" s="215"/>
      <c r="BS13" s="215"/>
      <c r="BT13" s="215"/>
      <c r="BU13" s="215"/>
      <c r="BV13" s="215"/>
      <c r="BW13" s="215"/>
      <c r="BX13" s="215"/>
      <c r="BY13" s="215"/>
      <c r="BZ13" s="215"/>
      <c r="CA13" s="215"/>
      <c r="CB13" s="215"/>
      <c r="CC13" s="215"/>
      <c r="CD13" s="215"/>
      <c r="CE13" s="215"/>
      <c r="CF13" s="215"/>
    </row>
    <row r="14" spans="1:84" ht="16.5" outlineLevel="2">
      <c r="A14" s="164"/>
      <c r="B14" s="164"/>
      <c r="C14" s="164">
        <v>3</v>
      </c>
      <c r="D14" s="165" t="s">
        <v>951</v>
      </c>
      <c r="E14" s="166"/>
      <c r="F14" s="166"/>
      <c r="G14" s="166" t="s">
        <v>1022</v>
      </c>
      <c r="H14" s="166"/>
      <c r="I14" s="166"/>
      <c r="J14" s="166"/>
      <c r="K14" s="166" t="s">
        <v>1171</v>
      </c>
      <c r="L14" s="166" t="s">
        <v>284</v>
      </c>
      <c r="M14" s="167">
        <v>45258</v>
      </c>
      <c r="N14" s="167">
        <v>45262</v>
      </c>
      <c r="O14" s="166"/>
      <c r="P14" s="168">
        <v>4</v>
      </c>
      <c r="Q14" s="168">
        <v>0</v>
      </c>
      <c r="R14" s="169">
        <v>4</v>
      </c>
      <c r="S14" s="169">
        <v>0</v>
      </c>
      <c r="T14" s="167"/>
      <c r="U14" s="167"/>
      <c r="V14" s="170"/>
      <c r="W14" s="171">
        <v>0</v>
      </c>
      <c r="X14" s="172">
        <v>1</v>
      </c>
      <c r="Y14" s="166"/>
      <c r="Z14" s="173"/>
      <c r="AA14" s="176">
        <v>0</v>
      </c>
      <c r="AB14" s="176">
        <v>0</v>
      </c>
      <c r="AC14" s="214"/>
      <c r="AD14" s="215"/>
      <c r="AE14" s="215"/>
      <c r="AF14" s="215" t="str">
        <f>"  " &amp; TEXT(AB14,"#0.00%") &amp; " " &amp; "중간보고" &amp; " " &amp; IF(M14="","",TEXT(M14,"M/D-")) &amp; IF(N14="","",TEXT(N14,"M/D")) &amp; " "</f>
        <v xml:space="preserve">  0.00% 중간보고 11/28-12/2 </v>
      </c>
      <c r="AG14" s="215"/>
      <c r="AH14" s="215"/>
      <c r="AI14" s="215"/>
      <c r="AJ14" s="215"/>
      <c r="AK14" s="215"/>
      <c r="AL14" s="215"/>
      <c r="AM14" s="215"/>
      <c r="AN14" s="215"/>
      <c r="AO14" s="215"/>
      <c r="AP14" s="215"/>
      <c r="AQ14" s="215"/>
      <c r="AR14" s="215"/>
      <c r="AS14" s="215"/>
      <c r="AT14" s="215"/>
      <c r="AU14" s="215"/>
      <c r="AV14" s="215"/>
      <c r="AW14" s="215"/>
      <c r="AX14" s="215"/>
      <c r="AY14" s="215"/>
      <c r="AZ14" s="215"/>
      <c r="BA14" s="215"/>
      <c r="BB14" s="215"/>
      <c r="BC14" s="215"/>
      <c r="BD14" s="215"/>
      <c r="BE14" s="215"/>
      <c r="BF14" s="215"/>
      <c r="BG14" s="215"/>
      <c r="BH14" s="215"/>
      <c r="BI14" s="215"/>
      <c r="BJ14" s="215"/>
      <c r="BK14" s="215"/>
      <c r="BL14" s="215"/>
      <c r="BM14" s="215"/>
      <c r="BN14" s="215"/>
      <c r="BO14" s="215"/>
      <c r="BP14" s="215"/>
      <c r="BQ14" s="215"/>
      <c r="BR14" s="215"/>
      <c r="BS14" s="215"/>
      <c r="BT14" s="215"/>
      <c r="BU14" s="215"/>
      <c r="BV14" s="215"/>
      <c r="BW14" s="215"/>
      <c r="BX14" s="215"/>
      <c r="BY14" s="215"/>
      <c r="BZ14" s="215"/>
      <c r="CA14" s="215"/>
      <c r="CB14" s="215"/>
      <c r="CC14" s="215"/>
      <c r="CD14" s="215"/>
      <c r="CE14" s="215"/>
      <c r="CF14" s="215"/>
    </row>
    <row r="15" spans="1:84" ht="16.5" outlineLevel="2">
      <c r="A15" s="164"/>
      <c r="B15" s="164"/>
      <c r="C15" s="164">
        <v>3</v>
      </c>
      <c r="D15" s="165" t="s">
        <v>987</v>
      </c>
      <c r="E15" s="166"/>
      <c r="F15" s="166"/>
      <c r="G15" s="166" t="s">
        <v>1132</v>
      </c>
      <c r="H15" s="166"/>
      <c r="I15" s="166"/>
      <c r="J15" s="166"/>
      <c r="K15" s="166" t="s">
        <v>182</v>
      </c>
      <c r="L15" s="166" t="s">
        <v>711</v>
      </c>
      <c r="M15" s="167">
        <v>45265</v>
      </c>
      <c r="N15" s="167">
        <v>45269</v>
      </c>
      <c r="O15" s="166"/>
      <c r="P15" s="168">
        <v>4</v>
      </c>
      <c r="Q15" s="168">
        <v>0</v>
      </c>
      <c r="R15" s="169">
        <v>4</v>
      </c>
      <c r="S15" s="169">
        <v>0</v>
      </c>
      <c r="T15" s="167"/>
      <c r="U15" s="167"/>
      <c r="V15" s="170"/>
      <c r="W15" s="171">
        <v>0</v>
      </c>
      <c r="X15" s="172">
        <v>1</v>
      </c>
      <c r="Y15" s="166"/>
      <c r="Z15" s="173"/>
      <c r="AA15" s="176">
        <v>0</v>
      </c>
      <c r="AB15" s="176">
        <v>0</v>
      </c>
      <c r="AC15" s="214"/>
      <c r="AD15" s="215"/>
      <c r="AE15" s="215"/>
      <c r="AF15" s="215"/>
      <c r="AG15" s="215" t="str">
        <f>"  " &amp; TEXT(AB15,"#0.00%") &amp; " " &amp; "주간보고3" &amp; " " &amp; IF(M15="","",TEXT(M15,"M/D-")) &amp; IF(N15="","",TEXT(N15,"M/D")) &amp; " "</f>
        <v xml:space="preserve">  0.00% 주간보고3 12/5-12/9 </v>
      </c>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row>
    <row r="16" spans="1:84" ht="16.5" outlineLevel="2">
      <c r="A16" s="164"/>
      <c r="B16" s="164"/>
      <c r="C16" s="164">
        <v>3</v>
      </c>
      <c r="D16" s="165" t="s">
        <v>1134</v>
      </c>
      <c r="E16" s="166"/>
      <c r="F16" s="166"/>
      <c r="G16" s="196" t="s">
        <v>1133</v>
      </c>
      <c r="H16" s="196"/>
      <c r="I16" s="196"/>
      <c r="J16" s="166"/>
      <c r="K16" s="166" t="s">
        <v>181</v>
      </c>
      <c r="L16" s="166" t="s">
        <v>896</v>
      </c>
      <c r="M16" s="167">
        <v>45272</v>
      </c>
      <c r="N16" s="167">
        <v>45276</v>
      </c>
      <c r="O16" s="166"/>
      <c r="P16" s="168">
        <v>4</v>
      </c>
      <c r="Q16" s="168">
        <v>0</v>
      </c>
      <c r="R16" s="169">
        <v>4</v>
      </c>
      <c r="S16" s="169">
        <v>0</v>
      </c>
      <c r="T16" s="167"/>
      <c r="U16" s="167"/>
      <c r="V16" s="170"/>
      <c r="W16" s="171">
        <v>0</v>
      </c>
      <c r="X16" s="172">
        <v>1</v>
      </c>
      <c r="Y16" s="166"/>
      <c r="Z16" s="173"/>
      <c r="AA16" s="176">
        <v>0</v>
      </c>
      <c r="AB16" s="176">
        <v>0</v>
      </c>
      <c r="AC16" s="214"/>
      <c r="AD16" s="215"/>
      <c r="AE16" s="215"/>
      <c r="AF16" s="215"/>
      <c r="AG16" s="215"/>
      <c r="AH16" s="215" t="str">
        <f>"  " &amp; TEXT(AB16,"#0.00%") &amp; " " &amp; "주간보고4" &amp; " " &amp; IF(M16="","",TEXT(M16,"M/D-")) &amp; IF(N16="","",TEXT(N16,"M/D")) &amp; " "</f>
        <v xml:space="preserve">  0.00% 주간보고4 12/12-12/16 </v>
      </c>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row>
    <row r="17" spans="1:84" ht="16.5" outlineLevel="1">
      <c r="A17" s="164"/>
      <c r="B17" s="164" t="s">
        <v>549</v>
      </c>
      <c r="C17" s="164">
        <v>2</v>
      </c>
      <c r="D17" s="165" t="s">
        <v>607</v>
      </c>
      <c r="E17" s="166"/>
      <c r="F17" s="166" t="s">
        <v>994</v>
      </c>
      <c r="G17" s="166"/>
      <c r="H17" s="166"/>
      <c r="I17" s="166"/>
      <c r="J17" s="166"/>
      <c r="K17" s="166"/>
      <c r="L17" s="166"/>
      <c r="M17" s="167">
        <v>45279</v>
      </c>
      <c r="N17" s="167">
        <v>45283</v>
      </c>
      <c r="O17" s="166"/>
      <c r="P17" s="168">
        <v>4</v>
      </c>
      <c r="Q17" s="168">
        <v>0</v>
      </c>
      <c r="R17" s="169">
        <v>4</v>
      </c>
      <c r="S17" s="169">
        <v>0</v>
      </c>
      <c r="T17" s="167"/>
      <c r="U17" s="167"/>
      <c r="V17" s="170">
        <v>0</v>
      </c>
      <c r="W17" s="171">
        <v>0</v>
      </c>
      <c r="X17" s="172"/>
      <c r="Y17" s="166"/>
      <c r="Z17" s="173"/>
      <c r="AA17" s="176">
        <v>0</v>
      </c>
      <c r="AB17" s="176">
        <v>0</v>
      </c>
      <c r="AC17" s="214"/>
      <c r="AD17" s="215"/>
      <c r="AE17" s="215"/>
      <c r="AF17" s="215"/>
      <c r="AG17" s="215"/>
      <c r="AH17" s="215"/>
      <c r="AI17" s="215" t="str">
        <f>"  " &amp; TEXT(AB17,"#0.00%") &amp; " " &amp; "프로젝트 종료" &amp; " " &amp; IF(M17="","",TEXT(M17,"M/D-")) &amp; IF(N17="","",TEXT(N17,"M/D")) &amp; " "</f>
        <v xml:space="preserve">  0.00% 프로젝트 종료 12/19-12/23 </v>
      </c>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row>
    <row r="18" spans="1:84" ht="16.5" outlineLevel="2">
      <c r="A18" s="164"/>
      <c r="B18" s="164"/>
      <c r="C18" s="164">
        <v>3</v>
      </c>
      <c r="D18" s="165" t="s">
        <v>946</v>
      </c>
      <c r="E18" s="166"/>
      <c r="F18" s="166"/>
      <c r="G18" s="166" t="s">
        <v>1005</v>
      </c>
      <c r="H18" s="166"/>
      <c r="I18" s="166"/>
      <c r="J18" s="166"/>
      <c r="K18" s="166"/>
      <c r="L18" s="166"/>
      <c r="M18" s="167">
        <v>45279</v>
      </c>
      <c r="N18" s="167">
        <v>45280</v>
      </c>
      <c r="O18" s="166"/>
      <c r="P18" s="168">
        <v>2</v>
      </c>
      <c r="Q18" s="168">
        <v>0</v>
      </c>
      <c r="R18" s="169">
        <v>2</v>
      </c>
      <c r="S18" s="169">
        <v>0</v>
      </c>
      <c r="T18" s="167"/>
      <c r="U18" s="167"/>
      <c r="V18" s="170"/>
      <c r="W18" s="171">
        <v>0</v>
      </c>
      <c r="X18" s="172">
        <v>1</v>
      </c>
      <c r="Y18" s="166"/>
      <c r="Z18" s="173"/>
      <c r="AA18" s="176">
        <v>0</v>
      </c>
      <c r="AB18" s="176">
        <v>0</v>
      </c>
      <c r="AC18" s="214"/>
      <c r="AD18" s="215"/>
      <c r="AE18" s="215"/>
      <c r="AF18" s="215"/>
      <c r="AG18" s="215"/>
      <c r="AH18" s="215"/>
      <c r="AI18" s="215" t="str">
        <f>"  " &amp; TEXT(AB18,"#0.00%") &amp; " " &amp; "종료계획수립" &amp; " " &amp; IF(M18="","",TEXT(M18,"M/D-")) &amp; IF(N18="","",TEXT(N18,"M/D")) &amp; " "</f>
        <v xml:space="preserve">  0.00% 종료계획수립 12/19-12/20 </v>
      </c>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row>
    <row r="19" spans="1:84" ht="16.5" outlineLevel="2">
      <c r="A19" s="164"/>
      <c r="B19" s="164"/>
      <c r="C19" s="164">
        <v>3</v>
      </c>
      <c r="D19" s="165" t="s">
        <v>928</v>
      </c>
      <c r="E19" s="166"/>
      <c r="F19" s="166"/>
      <c r="G19" s="166" t="s">
        <v>809</v>
      </c>
      <c r="H19" s="166"/>
      <c r="I19" s="166"/>
      <c r="J19" s="166"/>
      <c r="K19" s="166"/>
      <c r="L19" s="166"/>
      <c r="M19" s="167">
        <v>45281</v>
      </c>
      <c r="N19" s="167">
        <v>45282</v>
      </c>
      <c r="O19" s="166"/>
      <c r="P19" s="168">
        <v>2</v>
      </c>
      <c r="Q19" s="168">
        <v>0</v>
      </c>
      <c r="R19" s="169">
        <v>2</v>
      </c>
      <c r="S19" s="169">
        <v>0</v>
      </c>
      <c r="T19" s="167"/>
      <c r="U19" s="167"/>
      <c r="V19" s="170"/>
      <c r="W19" s="171">
        <v>0</v>
      </c>
      <c r="X19" s="172">
        <v>1</v>
      </c>
      <c r="Y19" s="166"/>
      <c r="Z19" s="173"/>
      <c r="AA19" s="176">
        <v>0</v>
      </c>
      <c r="AB19" s="176">
        <v>0</v>
      </c>
      <c r="AC19" s="214"/>
      <c r="AD19" s="215"/>
      <c r="AE19" s="215"/>
      <c r="AF19" s="215"/>
      <c r="AG19" s="215"/>
      <c r="AH19" s="215"/>
      <c r="AI19" s="215" t="str">
        <f>"    " &amp; TEXT(AB19,"#0.00%") &amp; " " &amp; "시스템 인수인계" &amp; " " &amp; IF(M19="","",TEXT(M19,"M/D-")) &amp; IF(N19="","",TEXT(N19,"M/D")) &amp; " "</f>
        <v xml:space="preserve">    0.00% 시스템 인수인계 12/21-12/22 </v>
      </c>
      <c r="AJ19" s="215"/>
      <c r="AK19" s="215"/>
      <c r="AL19" s="215"/>
      <c r="AM19" s="215"/>
      <c r="AN19" s="215"/>
      <c r="AO19" s="215"/>
      <c r="AP19" s="215"/>
      <c r="AQ19" s="215"/>
      <c r="AR19" s="215"/>
      <c r="AS19" s="215"/>
      <c r="AT19" s="215"/>
      <c r="AU19" s="215"/>
      <c r="AV19" s="215"/>
      <c r="AW19" s="215"/>
      <c r="AX19" s="215"/>
      <c r="AY19" s="215"/>
      <c r="AZ19" s="215"/>
      <c r="BA19" s="215"/>
      <c r="BB19" s="215"/>
      <c r="BC19" s="215"/>
      <c r="BD19" s="215"/>
      <c r="BE19" s="215"/>
      <c r="BF19" s="215"/>
      <c r="BG19" s="215"/>
      <c r="BH19" s="215"/>
      <c r="BI19" s="215"/>
      <c r="BJ19" s="215"/>
      <c r="BK19" s="215"/>
      <c r="BL19" s="215"/>
      <c r="BM19" s="215"/>
      <c r="BN19" s="215"/>
      <c r="BO19" s="215"/>
      <c r="BP19" s="215"/>
      <c r="BQ19" s="215"/>
      <c r="BR19" s="215"/>
      <c r="BS19" s="215"/>
      <c r="BT19" s="215"/>
      <c r="BU19" s="215"/>
      <c r="BV19" s="215"/>
      <c r="BW19" s="215"/>
      <c r="BX19" s="215"/>
      <c r="BY19" s="215"/>
      <c r="BZ19" s="215"/>
      <c r="CA19" s="215"/>
      <c r="CB19" s="215"/>
      <c r="CC19" s="215"/>
      <c r="CD19" s="215"/>
      <c r="CE19" s="215"/>
      <c r="CF19" s="215"/>
    </row>
    <row r="20" spans="1:84" ht="16.5" outlineLevel="2">
      <c r="A20" s="164"/>
      <c r="B20" s="164"/>
      <c r="C20" s="164">
        <v>3</v>
      </c>
      <c r="D20" s="165" t="s">
        <v>941</v>
      </c>
      <c r="E20" s="166"/>
      <c r="F20" s="166"/>
      <c r="G20" s="166" t="s">
        <v>989</v>
      </c>
      <c r="H20" s="166"/>
      <c r="I20" s="166"/>
      <c r="J20" s="166"/>
      <c r="K20" s="166"/>
      <c r="L20" s="166"/>
      <c r="M20" s="167">
        <v>45283</v>
      </c>
      <c r="N20" s="167">
        <v>45283</v>
      </c>
      <c r="O20" s="166"/>
      <c r="P20" s="168">
        <v>0</v>
      </c>
      <c r="Q20" s="168">
        <v>0</v>
      </c>
      <c r="R20" s="169">
        <v>0</v>
      </c>
      <c r="S20" s="169">
        <v>0</v>
      </c>
      <c r="T20" s="167"/>
      <c r="U20" s="167"/>
      <c r="V20" s="170"/>
      <c r="W20" s="171">
        <v>0</v>
      </c>
      <c r="X20" s="172">
        <v>1</v>
      </c>
      <c r="Y20" s="166"/>
      <c r="Z20" s="173"/>
      <c r="AA20" s="176">
        <v>0</v>
      </c>
      <c r="AB20" s="176">
        <v>0</v>
      </c>
      <c r="AC20" s="214"/>
      <c r="AD20" s="215"/>
      <c r="AE20" s="215"/>
      <c r="AF20" s="215"/>
      <c r="AG20" s="215"/>
      <c r="AH20" s="215"/>
      <c r="AI20" s="215" t="str">
        <f>"      " &amp; TEXT(AB20,"#0.00%") &amp; " " &amp; "종료보고" &amp; " " &amp; IF(M20="","",TEXT(M20,"M/D-")) &amp; IF(N20="","",TEXT(N20,"M/D")) &amp; " "</f>
        <v xml:space="preserve">      0.00% 종료보고 12/23-12/23 </v>
      </c>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row>
    <row r="21" spans="1:84" ht="16.5" outlineLevel="2">
      <c r="A21" s="164"/>
      <c r="B21" s="164"/>
      <c r="C21" s="164">
        <v>3</v>
      </c>
      <c r="D21" s="165" t="s">
        <v>969</v>
      </c>
      <c r="E21" s="166"/>
      <c r="F21" s="166"/>
      <c r="G21" s="166" t="s">
        <v>973</v>
      </c>
      <c r="H21" s="166"/>
      <c r="I21" s="166"/>
      <c r="J21" s="166"/>
      <c r="K21" s="166"/>
      <c r="L21" s="166"/>
      <c r="M21" s="167">
        <v>45283</v>
      </c>
      <c r="N21" s="167">
        <v>45283</v>
      </c>
      <c r="O21" s="166"/>
      <c r="P21" s="168">
        <v>0</v>
      </c>
      <c r="Q21" s="168">
        <v>0</v>
      </c>
      <c r="R21" s="169">
        <v>0</v>
      </c>
      <c r="S21" s="169">
        <v>0</v>
      </c>
      <c r="T21" s="167"/>
      <c r="U21" s="167"/>
      <c r="V21" s="170"/>
      <c r="W21" s="171">
        <v>0</v>
      </c>
      <c r="X21" s="172">
        <v>1</v>
      </c>
      <c r="Y21" s="166"/>
      <c r="Z21" s="173"/>
      <c r="AA21" s="176">
        <v>0</v>
      </c>
      <c r="AB21" s="176">
        <v>0</v>
      </c>
      <c r="AC21" s="214"/>
      <c r="AD21" s="215"/>
      <c r="AE21" s="215"/>
      <c r="AF21" s="215"/>
      <c r="AG21" s="215"/>
      <c r="AH21" s="215"/>
      <c r="AI21" s="215" t="str">
        <f>"      " &amp; TEXT(AB21,"#0.00%") &amp; " " &amp; "검수 및 종료" &amp; " " &amp; IF(M21="","",TEXT(M21,"M/D-")) &amp; IF(N21="","",TEXT(N21,"M/D")) &amp; " "</f>
        <v xml:space="preserve">      0.00% 검수 및 종료 12/23-12/23 </v>
      </c>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row>
    <row r="22" spans="1:84" ht="16.5">
      <c r="A22" s="164"/>
      <c r="B22" s="164" t="s">
        <v>549</v>
      </c>
      <c r="C22" s="164">
        <v>1</v>
      </c>
      <c r="D22" s="165" t="s">
        <v>604</v>
      </c>
      <c r="E22" s="166" t="s">
        <v>1002</v>
      </c>
      <c r="F22" s="166"/>
      <c r="G22" s="166"/>
      <c r="H22" s="166"/>
      <c r="I22" s="166"/>
      <c r="J22" s="166"/>
      <c r="K22" s="166"/>
      <c r="L22" s="166"/>
      <c r="M22" s="167">
        <v>45241</v>
      </c>
      <c r="N22" s="167">
        <v>45276</v>
      </c>
      <c r="O22" s="166"/>
      <c r="P22" s="168">
        <v>18</v>
      </c>
      <c r="Q22" s="168">
        <v>9</v>
      </c>
      <c r="R22" s="169">
        <v>25</v>
      </c>
      <c r="S22" s="169">
        <v>5</v>
      </c>
      <c r="T22" s="167"/>
      <c r="U22" s="167"/>
      <c r="V22" s="170">
        <v>0</v>
      </c>
      <c r="W22" s="171">
        <v>0</v>
      </c>
      <c r="X22" s="172"/>
      <c r="Y22" s="166"/>
      <c r="Z22" s="173"/>
      <c r="AA22" s="176">
        <v>0.5</v>
      </c>
      <c r="AB22" s="176">
        <v>0.13666666666666666</v>
      </c>
      <c r="AC22" s="214"/>
      <c r="AD22" s="215" t="str">
        <f>"    " &amp; TEXT(AB22,"#0.00%") &amp; " "</f>
        <v xml:space="preserve">    13.67% </v>
      </c>
      <c r="AE22" s="215"/>
      <c r="AF22" s="215"/>
      <c r="AG22" s="215"/>
      <c r="AH22" s="215"/>
      <c r="AI22" s="215" t="str">
        <f>"" &amp; "시스템 개발" &amp; " " &amp; IF(M22="","",TEXT(M22,"M/D-")) &amp; IF(N22="","",TEXT(N22,"M/D")) &amp; " "</f>
        <v xml:space="preserve">시스템 개발 11/11-12/16 </v>
      </c>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row>
    <row r="23" spans="1:84" ht="16.5" outlineLevel="1">
      <c r="A23" s="164"/>
      <c r="B23" s="164" t="s">
        <v>549</v>
      </c>
      <c r="C23" s="164">
        <v>2</v>
      </c>
      <c r="D23" s="165" t="s">
        <v>592</v>
      </c>
      <c r="E23" s="166"/>
      <c r="F23" s="166" t="s">
        <v>591</v>
      </c>
      <c r="G23" s="166"/>
      <c r="H23" s="166"/>
      <c r="I23" s="166"/>
      <c r="J23" s="166"/>
      <c r="K23" s="166"/>
      <c r="L23" s="166"/>
      <c r="M23" s="167">
        <v>45241</v>
      </c>
      <c r="N23" s="167">
        <v>45245</v>
      </c>
      <c r="O23" s="166"/>
      <c r="P23" s="168">
        <v>4</v>
      </c>
      <c r="Q23" s="168">
        <v>4</v>
      </c>
      <c r="R23" s="169">
        <v>3</v>
      </c>
      <c r="S23" s="169">
        <v>3</v>
      </c>
      <c r="T23" s="167"/>
      <c r="U23" s="167"/>
      <c r="V23" s="170">
        <v>0</v>
      </c>
      <c r="W23" s="171">
        <v>0</v>
      </c>
      <c r="X23" s="172"/>
      <c r="Y23" s="166"/>
      <c r="Z23" s="173"/>
      <c r="AA23" s="176">
        <v>1</v>
      </c>
      <c r="AB23" s="176">
        <v>0.45</v>
      </c>
      <c r="AC23" s="214"/>
      <c r="AD23" s="215" t="str">
        <f>" " &amp; TEXT(AB23,"#0.00%") &amp; " " &amp; "분석" &amp; " " &amp; IF(M23="","",TEXT(M23,"M/D-")) &amp; IF(N23="","",TEXT(N23,"M/D")) &amp; " "</f>
        <v xml:space="preserve"> 45.00% 분석 11/11-11/15 </v>
      </c>
      <c r="AE23" s="215"/>
      <c r="AF23" s="215"/>
      <c r="AG23" s="215"/>
      <c r="AH23" s="215"/>
      <c r="AI23" s="215"/>
      <c r="AJ23" s="215"/>
      <c r="AK23" s="215"/>
      <c r="AL23" s="215"/>
      <c r="AM23" s="215"/>
      <c r="AN23" s="215"/>
      <c r="AO23" s="215"/>
      <c r="AP23" s="215"/>
      <c r="AQ23" s="215"/>
      <c r="AR23" s="215"/>
      <c r="AS23" s="215"/>
      <c r="AT23" s="215"/>
      <c r="AU23" s="215"/>
      <c r="AV23" s="215"/>
      <c r="AW23" s="215"/>
      <c r="AX23" s="215"/>
      <c r="AY23" s="215"/>
      <c r="AZ23" s="215"/>
      <c r="BA23" s="215"/>
      <c r="BB23" s="215"/>
      <c r="BC23" s="215"/>
      <c r="BD23" s="215"/>
      <c r="BE23" s="215"/>
      <c r="BF23" s="215"/>
      <c r="BG23" s="215"/>
      <c r="BH23" s="215"/>
      <c r="BI23" s="215"/>
      <c r="BJ23" s="215"/>
      <c r="BK23" s="215"/>
      <c r="BL23" s="215"/>
      <c r="BM23" s="215"/>
      <c r="BN23" s="215"/>
      <c r="BO23" s="215"/>
      <c r="BP23" s="215"/>
      <c r="BQ23" s="215"/>
      <c r="BR23" s="215"/>
      <c r="BS23" s="215"/>
      <c r="BT23" s="215"/>
      <c r="BU23" s="215"/>
      <c r="BV23" s="215"/>
      <c r="BW23" s="215"/>
      <c r="BX23" s="215"/>
      <c r="BY23" s="215"/>
      <c r="BZ23" s="215"/>
      <c r="CA23" s="215"/>
      <c r="CB23" s="215"/>
      <c r="CC23" s="215"/>
      <c r="CD23" s="215"/>
      <c r="CE23" s="215"/>
      <c r="CF23" s="215"/>
    </row>
    <row r="24" spans="1:84" ht="16.5" outlineLevel="2">
      <c r="A24" s="164"/>
      <c r="B24" s="164"/>
      <c r="C24" s="164">
        <v>3</v>
      </c>
      <c r="D24" s="165" t="s">
        <v>1018</v>
      </c>
      <c r="E24" s="166"/>
      <c r="F24" s="166"/>
      <c r="G24" s="166" t="s">
        <v>984</v>
      </c>
      <c r="H24" s="166"/>
      <c r="I24" s="166"/>
      <c r="J24" s="166"/>
      <c r="K24" s="174" t="s">
        <v>1226</v>
      </c>
      <c r="L24" s="166"/>
      <c r="M24" s="167">
        <v>45241</v>
      </c>
      <c r="N24" s="167">
        <v>45244</v>
      </c>
      <c r="O24" s="166"/>
      <c r="P24" s="168">
        <v>2</v>
      </c>
      <c r="Q24" s="168">
        <v>2</v>
      </c>
      <c r="R24" s="169">
        <v>2</v>
      </c>
      <c r="S24" s="169">
        <v>2</v>
      </c>
      <c r="T24" s="167">
        <v>45135</v>
      </c>
      <c r="U24" s="167">
        <v>45153</v>
      </c>
      <c r="V24" s="170">
        <v>13</v>
      </c>
      <c r="W24" s="171">
        <v>13</v>
      </c>
      <c r="X24" s="172">
        <v>1</v>
      </c>
      <c r="Y24" s="166"/>
      <c r="Z24" s="173"/>
      <c r="AA24" s="176">
        <v>1</v>
      </c>
      <c r="AB24" s="176">
        <v>0.45</v>
      </c>
      <c r="AC24" s="214"/>
      <c r="AD24" s="215" t="str">
        <f>" " &amp; TEXT(AB24,"#0.00%") &amp; " " &amp; "요구사항정의" &amp; " " &amp; IF(M24="","",TEXT(M24,"M/D-")) &amp; IF(N24="","",TEXT(N24,"M/D")) &amp; " "</f>
        <v xml:space="preserve"> 45.00% 요구사항정의 11/11-11/14 </v>
      </c>
      <c r="AE24" s="215"/>
      <c r="AF24" s="215"/>
      <c r="AG24" s="215"/>
      <c r="AH24" s="215"/>
      <c r="AI24" s="215"/>
      <c r="AJ24" s="215"/>
      <c r="AK24" s="215"/>
      <c r="AL24" s="215"/>
      <c r="AM24" s="215"/>
      <c r="AN24" s="215"/>
      <c r="AO24" s="215"/>
      <c r="AP24" s="215"/>
      <c r="AQ24" s="215"/>
      <c r="AR24" s="215"/>
      <c r="AS24" s="215"/>
      <c r="AT24" s="215"/>
      <c r="AU24" s="215"/>
      <c r="AV24" s="215"/>
      <c r="AW24" s="215"/>
      <c r="AX24" s="215"/>
      <c r="AY24" s="215"/>
      <c r="AZ24" s="215"/>
      <c r="BA24" s="215"/>
      <c r="BB24" s="215"/>
      <c r="BC24" s="215"/>
      <c r="BD24" s="215"/>
      <c r="BE24" s="215"/>
      <c r="BF24" s="215"/>
      <c r="BG24" s="215"/>
      <c r="BH24" s="215"/>
      <c r="BI24" s="215"/>
      <c r="BJ24" s="215"/>
      <c r="BK24" s="215"/>
      <c r="BL24" s="215"/>
      <c r="BM24" s="215"/>
      <c r="BN24" s="215"/>
      <c r="BO24" s="215"/>
      <c r="BP24" s="215"/>
      <c r="BQ24" s="215"/>
      <c r="BR24" s="215"/>
      <c r="BS24" s="215"/>
      <c r="BT24" s="215"/>
      <c r="BU24" s="215"/>
      <c r="BV24" s="215"/>
      <c r="BW24" s="215"/>
      <c r="BX24" s="215"/>
      <c r="BY24" s="215"/>
      <c r="BZ24" s="215"/>
      <c r="CA24" s="215"/>
      <c r="CB24" s="215"/>
      <c r="CC24" s="215"/>
      <c r="CD24" s="215"/>
      <c r="CE24" s="215"/>
      <c r="CF24" s="215"/>
    </row>
    <row r="25" spans="1:84" ht="16.5" outlineLevel="2">
      <c r="A25" s="164"/>
      <c r="B25" s="164" t="s">
        <v>549</v>
      </c>
      <c r="C25" s="164">
        <v>3</v>
      </c>
      <c r="D25" s="165" t="s">
        <v>1114</v>
      </c>
      <c r="E25" s="166"/>
      <c r="F25" s="166"/>
      <c r="G25" s="166" t="s">
        <v>1028</v>
      </c>
      <c r="H25" s="166"/>
      <c r="I25" s="166"/>
      <c r="J25" s="166"/>
      <c r="K25" s="166"/>
      <c r="L25" s="166"/>
      <c r="M25" s="167">
        <v>45244</v>
      </c>
      <c r="N25" s="167">
        <v>45245</v>
      </c>
      <c r="O25" s="166"/>
      <c r="P25" s="168">
        <v>2</v>
      </c>
      <c r="Q25" s="168">
        <v>2</v>
      </c>
      <c r="R25" s="169">
        <v>2</v>
      </c>
      <c r="S25" s="169">
        <v>2</v>
      </c>
      <c r="T25" s="167"/>
      <c r="U25" s="167"/>
      <c r="V25" s="170">
        <v>0</v>
      </c>
      <c r="W25" s="171">
        <v>0</v>
      </c>
      <c r="X25" s="172"/>
      <c r="Y25" s="166"/>
      <c r="Z25" s="173"/>
      <c r="AA25" s="176">
        <v>1</v>
      </c>
      <c r="AB25" s="176">
        <v>0.45</v>
      </c>
      <c r="AC25" s="214"/>
      <c r="AD25" s="215" t="str">
        <f>"   " &amp; TEXT(AB25,"#0.00%") &amp; " " &amp; "논리모델구축" &amp; " " &amp; IF(M25="","",TEXT(M25,"M/D-")) &amp; IF(N25="","",TEXT(N25,"M/D")) &amp; " "</f>
        <v xml:space="preserve">   45.00% 논리모델구축 11/14-11/15 </v>
      </c>
      <c r="AE25" s="215"/>
      <c r="AF25" s="215"/>
      <c r="AG25" s="215"/>
      <c r="AH25" s="215"/>
      <c r="AI25" s="215"/>
      <c r="AJ25" s="215"/>
      <c r="AK25" s="215"/>
      <c r="AL25" s="215"/>
      <c r="AM25" s="215"/>
      <c r="AN25" s="215"/>
      <c r="AO25" s="215"/>
      <c r="AP25" s="215"/>
      <c r="AQ25" s="215"/>
      <c r="AR25" s="215"/>
      <c r="AS25" s="215"/>
      <c r="AT25" s="215"/>
      <c r="AU25" s="215"/>
      <c r="AV25" s="215"/>
      <c r="AW25" s="215"/>
      <c r="AX25" s="215"/>
      <c r="AY25" s="215"/>
      <c r="AZ25" s="215"/>
      <c r="BA25" s="215"/>
      <c r="BB25" s="215"/>
      <c r="BC25" s="215"/>
      <c r="BD25" s="215"/>
      <c r="BE25" s="215"/>
      <c r="BF25" s="215"/>
      <c r="BG25" s="215"/>
      <c r="BH25" s="215"/>
      <c r="BI25" s="215"/>
      <c r="BJ25" s="215"/>
      <c r="BK25" s="215"/>
      <c r="BL25" s="215"/>
      <c r="BM25" s="215"/>
      <c r="BN25" s="215"/>
      <c r="BO25" s="215"/>
      <c r="BP25" s="215"/>
      <c r="BQ25" s="215"/>
      <c r="BR25" s="215"/>
      <c r="BS25" s="215"/>
      <c r="BT25" s="215"/>
      <c r="BU25" s="215"/>
      <c r="BV25" s="215"/>
      <c r="BW25" s="215"/>
      <c r="BX25" s="215"/>
      <c r="BY25" s="215"/>
      <c r="BZ25" s="215"/>
      <c r="CA25" s="215"/>
      <c r="CB25" s="215"/>
      <c r="CC25" s="215"/>
      <c r="CD25" s="215"/>
      <c r="CE25" s="215"/>
      <c r="CF25" s="215"/>
    </row>
    <row r="26" spans="1:84" ht="16.5" outlineLevel="3">
      <c r="A26" s="164"/>
      <c r="B26" s="164"/>
      <c r="C26" s="164">
        <v>4</v>
      </c>
      <c r="D26" s="165" t="s">
        <v>1054</v>
      </c>
      <c r="E26" s="166"/>
      <c r="F26" s="166"/>
      <c r="G26" s="166"/>
      <c r="H26" s="166" t="s">
        <v>965</v>
      </c>
      <c r="I26" s="166"/>
      <c r="J26" s="166"/>
      <c r="K26" s="174" t="s">
        <v>1227</v>
      </c>
      <c r="L26" s="166" t="s">
        <v>1228</v>
      </c>
      <c r="M26" s="167">
        <v>45244</v>
      </c>
      <c r="N26" s="167">
        <v>45244</v>
      </c>
      <c r="O26" s="166"/>
      <c r="P26" s="168">
        <v>1</v>
      </c>
      <c r="Q26" s="168">
        <v>1</v>
      </c>
      <c r="R26" s="169">
        <v>1</v>
      </c>
      <c r="S26" s="169">
        <v>1</v>
      </c>
      <c r="T26" s="167">
        <v>45141</v>
      </c>
      <c r="U26" s="167">
        <v>45152</v>
      </c>
      <c r="V26" s="170">
        <v>8</v>
      </c>
      <c r="W26" s="171">
        <v>8</v>
      </c>
      <c r="X26" s="172">
        <v>1</v>
      </c>
      <c r="Y26" s="166"/>
      <c r="Z26" s="173"/>
      <c r="AA26" s="176">
        <v>1</v>
      </c>
      <c r="AB26" s="176">
        <v>0.4</v>
      </c>
      <c r="AC26" s="214"/>
      <c r="AD26" s="215" t="str">
        <f>"  " &amp; TEXT(AB26,"#0.00%") &amp; " " &amp; "프로세스모델링" &amp; " " &amp; IF(M26="","",TEXT(M26,"M/D-")) &amp; IF(N26="","",TEXT(N26,"M/D")) &amp; " "</f>
        <v xml:space="preserve">  40.00% 프로세스모델링 11/14-11/14 </v>
      </c>
      <c r="AE26" s="215"/>
      <c r="AF26" s="215"/>
      <c r="AG26" s="215"/>
      <c r="AH26" s="215"/>
      <c r="AI26" s="215"/>
      <c r="AJ26" s="215"/>
      <c r="AK26" s="215"/>
      <c r="AL26" s="215"/>
      <c r="AM26" s="215"/>
      <c r="AN26" s="215"/>
      <c r="AO26" s="215"/>
      <c r="AP26" s="215"/>
      <c r="AQ26" s="215"/>
      <c r="AR26" s="215"/>
      <c r="AS26" s="215"/>
      <c r="AT26" s="215"/>
      <c r="AU26" s="215"/>
      <c r="AV26" s="215"/>
      <c r="AW26" s="215"/>
      <c r="AX26" s="215"/>
      <c r="AY26" s="215"/>
      <c r="AZ26" s="215"/>
      <c r="BA26" s="215"/>
      <c r="BB26" s="215"/>
      <c r="BC26" s="215"/>
      <c r="BD26" s="215"/>
      <c r="BE26" s="215"/>
      <c r="BF26" s="215"/>
      <c r="BG26" s="215"/>
      <c r="BH26" s="215"/>
      <c r="BI26" s="215"/>
      <c r="BJ26" s="215"/>
      <c r="BK26" s="215"/>
      <c r="BL26" s="215"/>
      <c r="BM26" s="215"/>
      <c r="BN26" s="215"/>
      <c r="BO26" s="215"/>
      <c r="BP26" s="215"/>
      <c r="BQ26" s="215"/>
      <c r="BR26" s="215"/>
      <c r="BS26" s="215"/>
      <c r="BT26" s="215"/>
      <c r="BU26" s="215"/>
      <c r="BV26" s="215"/>
      <c r="BW26" s="215"/>
      <c r="BX26" s="215"/>
      <c r="BY26" s="215"/>
      <c r="BZ26" s="215"/>
      <c r="CA26" s="215"/>
      <c r="CB26" s="215"/>
      <c r="CC26" s="215"/>
      <c r="CD26" s="215"/>
      <c r="CE26" s="215"/>
      <c r="CF26" s="215"/>
    </row>
    <row r="27" spans="1:84" ht="16.5" outlineLevel="3">
      <c r="A27" s="164"/>
      <c r="B27" s="164"/>
      <c r="C27" s="164">
        <v>4</v>
      </c>
      <c r="D27" s="165" t="s">
        <v>1100</v>
      </c>
      <c r="E27" s="166"/>
      <c r="F27" s="166"/>
      <c r="G27" s="166"/>
      <c r="H27" s="166" t="s">
        <v>970</v>
      </c>
      <c r="I27" s="166"/>
      <c r="J27" s="166"/>
      <c r="K27" s="174" t="s">
        <v>1229</v>
      </c>
      <c r="L27" s="166" t="s">
        <v>1230</v>
      </c>
      <c r="M27" s="167">
        <v>45245</v>
      </c>
      <c r="N27" s="167">
        <v>45245</v>
      </c>
      <c r="O27" s="166"/>
      <c r="P27" s="168">
        <v>1</v>
      </c>
      <c r="Q27" s="168">
        <v>1</v>
      </c>
      <c r="R27" s="169">
        <v>1</v>
      </c>
      <c r="S27" s="169">
        <v>1</v>
      </c>
      <c r="T27" s="167">
        <v>45141</v>
      </c>
      <c r="U27" s="167">
        <v>45152</v>
      </c>
      <c r="V27" s="170">
        <v>8</v>
      </c>
      <c r="W27" s="171">
        <v>8</v>
      </c>
      <c r="X27" s="172">
        <v>1</v>
      </c>
      <c r="Y27" s="166"/>
      <c r="Z27" s="173" t="s">
        <v>275</v>
      </c>
      <c r="AA27" s="176">
        <v>1</v>
      </c>
      <c r="AB27" s="176">
        <v>0.5</v>
      </c>
      <c r="AC27" s="214"/>
      <c r="AD27" s="215" t="str">
        <f>"   " &amp; TEXT(AB27,"#0.00%") &amp; " " &amp; "데이터모델링" &amp; " " &amp; IF(M27="","",TEXT(M27,"M/D-")) &amp; IF(N27="","",TEXT(N27,"M/D")) &amp; " "</f>
        <v xml:space="preserve">   50.00% 데이터모델링 11/15-11/15 </v>
      </c>
      <c r="AE27" s="215"/>
      <c r="AF27" s="215"/>
      <c r="AG27" s="215"/>
      <c r="AH27" s="215"/>
      <c r="AI27" s="215"/>
      <c r="AJ27" s="215"/>
      <c r="AK27" s="215"/>
      <c r="AL27" s="215"/>
      <c r="AM27" s="215"/>
      <c r="AN27" s="215"/>
      <c r="AO27" s="215"/>
      <c r="AP27" s="215"/>
      <c r="AQ27" s="215"/>
      <c r="AR27" s="215"/>
      <c r="AS27" s="215"/>
      <c r="AT27" s="215"/>
      <c r="AU27" s="215"/>
      <c r="AV27" s="215"/>
      <c r="AW27" s="215"/>
      <c r="AX27" s="215"/>
      <c r="AY27" s="215"/>
      <c r="AZ27" s="215"/>
      <c r="BA27" s="215"/>
      <c r="BB27" s="215"/>
      <c r="BC27" s="215"/>
      <c r="BD27" s="215"/>
      <c r="BE27" s="215"/>
      <c r="BF27" s="215"/>
      <c r="BG27" s="215"/>
      <c r="BH27" s="215"/>
      <c r="BI27" s="215"/>
      <c r="BJ27" s="215"/>
      <c r="BK27" s="215"/>
      <c r="BL27" s="215"/>
      <c r="BM27" s="215"/>
      <c r="BN27" s="215"/>
      <c r="BO27" s="215"/>
      <c r="BP27" s="215"/>
      <c r="BQ27" s="215"/>
      <c r="BR27" s="215"/>
      <c r="BS27" s="215"/>
      <c r="BT27" s="215"/>
      <c r="BU27" s="215"/>
      <c r="BV27" s="215"/>
      <c r="BW27" s="215"/>
      <c r="BX27" s="215"/>
      <c r="BY27" s="215"/>
      <c r="BZ27" s="215"/>
      <c r="CA27" s="215"/>
      <c r="CB27" s="215"/>
      <c r="CC27" s="215"/>
      <c r="CD27" s="215"/>
      <c r="CE27" s="215"/>
      <c r="CF27" s="215"/>
    </row>
    <row r="28" spans="1:84" ht="16.5" outlineLevel="1">
      <c r="A28" s="164"/>
      <c r="B28" s="164" t="s">
        <v>549</v>
      </c>
      <c r="C28" s="164">
        <v>2</v>
      </c>
      <c r="D28" s="165" t="s">
        <v>612</v>
      </c>
      <c r="E28" s="166"/>
      <c r="F28" s="166" t="s">
        <v>588</v>
      </c>
      <c r="G28" s="166"/>
      <c r="H28" s="166"/>
      <c r="I28" s="166"/>
      <c r="J28" s="166"/>
      <c r="K28" s="166"/>
      <c r="L28" s="166"/>
      <c r="M28" s="167">
        <v>45246</v>
      </c>
      <c r="N28" s="167">
        <v>45251</v>
      </c>
      <c r="O28" s="166"/>
      <c r="P28" s="168">
        <v>6</v>
      </c>
      <c r="Q28" s="168">
        <v>5</v>
      </c>
      <c r="R28" s="169">
        <v>4</v>
      </c>
      <c r="S28" s="169">
        <v>2</v>
      </c>
      <c r="T28" s="167"/>
      <c r="U28" s="167"/>
      <c r="V28" s="170">
        <v>0</v>
      </c>
      <c r="W28" s="171">
        <v>0</v>
      </c>
      <c r="X28" s="172"/>
      <c r="Y28" s="166"/>
      <c r="Z28" s="173"/>
      <c r="AA28" s="176">
        <v>0.83333333333333337</v>
      </c>
      <c r="AB28" s="176">
        <v>0.11</v>
      </c>
      <c r="AC28" s="214"/>
      <c r="AD28" s="215" t="str">
        <f>"     " &amp; TEXT(AB28,"#0.00%") &amp; " " &amp; "설계" &amp; " " &amp; IF(M28="","",TEXT(M28,"M/D-")) &amp; IF(N28="","",TEXT(N28,"M/D")) &amp; " "</f>
        <v xml:space="preserve">     11.00% 설계 11/16-11/21 </v>
      </c>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row>
    <row r="29" spans="1:84" ht="36" outlineLevel="2">
      <c r="A29" s="164"/>
      <c r="B29" s="164"/>
      <c r="C29" s="164">
        <v>3</v>
      </c>
      <c r="D29" s="165" t="s">
        <v>1008</v>
      </c>
      <c r="E29" s="166"/>
      <c r="F29" s="166"/>
      <c r="G29" s="166" t="s">
        <v>998</v>
      </c>
      <c r="H29" s="166"/>
      <c r="I29" s="166"/>
      <c r="J29" s="166"/>
      <c r="K29" s="174" t="s">
        <v>1231</v>
      </c>
      <c r="L29" s="175" t="s">
        <v>1232</v>
      </c>
      <c r="M29" s="167">
        <v>45246</v>
      </c>
      <c r="N29" s="167">
        <v>45247</v>
      </c>
      <c r="O29" s="166"/>
      <c r="P29" s="168">
        <v>2</v>
      </c>
      <c r="Q29" s="168">
        <v>2</v>
      </c>
      <c r="R29" s="169">
        <v>2</v>
      </c>
      <c r="S29" s="169">
        <v>2</v>
      </c>
      <c r="T29" s="167">
        <v>45155</v>
      </c>
      <c r="U29" s="167"/>
      <c r="V29" s="170">
        <v>-32227</v>
      </c>
      <c r="W29" s="171">
        <v>0</v>
      </c>
      <c r="X29" s="172">
        <v>1</v>
      </c>
      <c r="Y29" s="166"/>
      <c r="Z29" s="173"/>
      <c r="AA29" s="176">
        <v>1</v>
      </c>
      <c r="AB29" s="176">
        <v>0.33</v>
      </c>
      <c r="AC29" s="214"/>
      <c r="AD29" s="215" t="str">
        <f>"     " &amp; TEXT(AB29,"#0.00%") &amp; " " &amp; "UI 설계" &amp; " " &amp; IF(M29="","",TEXT(M29,"M/D-")) &amp; IF(N29="","",TEXT(N29,"M/D")) &amp; " "</f>
        <v xml:space="preserve">     33.00% UI 설계 11/16-11/17 </v>
      </c>
      <c r="AE29" s="215"/>
      <c r="AF29" s="215"/>
      <c r="AG29" s="215"/>
      <c r="AH29" s="215"/>
      <c r="AI29" s="215"/>
      <c r="AJ29" s="215"/>
      <c r="AK29" s="215"/>
      <c r="AL29" s="215"/>
      <c r="AM29" s="215"/>
      <c r="AN29" s="215"/>
      <c r="AO29" s="215"/>
      <c r="AP29" s="215"/>
      <c r="AQ29" s="215"/>
      <c r="AR29" s="215"/>
      <c r="AS29" s="215"/>
      <c r="AT29" s="215"/>
      <c r="AU29" s="215"/>
      <c r="AV29" s="215"/>
      <c r="AW29" s="215"/>
      <c r="AX29" s="215"/>
      <c r="AY29" s="215"/>
      <c r="AZ29" s="215"/>
      <c r="BA29" s="215"/>
      <c r="BB29" s="215"/>
      <c r="BC29" s="215"/>
      <c r="BD29" s="215"/>
      <c r="BE29" s="215"/>
      <c r="BF29" s="215"/>
      <c r="BG29" s="215"/>
      <c r="BH29" s="215"/>
      <c r="BI29" s="215"/>
      <c r="BJ29" s="215"/>
      <c r="BK29" s="215"/>
      <c r="BL29" s="215"/>
      <c r="BM29" s="215"/>
      <c r="BN29" s="215"/>
      <c r="BO29" s="215"/>
      <c r="BP29" s="215"/>
      <c r="BQ29" s="215"/>
      <c r="BR29" s="215"/>
      <c r="BS29" s="215"/>
      <c r="BT29" s="215"/>
      <c r="BU29" s="215"/>
      <c r="BV29" s="215"/>
      <c r="BW29" s="215"/>
      <c r="BX29" s="215"/>
      <c r="BY29" s="215"/>
      <c r="BZ29" s="215"/>
      <c r="CA29" s="215"/>
      <c r="CB29" s="215"/>
      <c r="CC29" s="215"/>
      <c r="CD29" s="215"/>
      <c r="CE29" s="215"/>
      <c r="CF29" s="215"/>
    </row>
    <row r="30" spans="1:84" ht="16.5" outlineLevel="2">
      <c r="A30" s="164"/>
      <c r="B30" s="164" t="s">
        <v>549</v>
      </c>
      <c r="C30" s="164">
        <v>3</v>
      </c>
      <c r="D30" s="165" t="s">
        <v>1060</v>
      </c>
      <c r="E30" s="166"/>
      <c r="F30" s="166"/>
      <c r="G30" s="166" t="s">
        <v>1042</v>
      </c>
      <c r="H30" s="166"/>
      <c r="I30" s="166"/>
      <c r="J30" s="166"/>
      <c r="K30" s="174" t="s">
        <v>1233</v>
      </c>
      <c r="L30" s="166"/>
      <c r="M30" s="167">
        <v>45246</v>
      </c>
      <c r="N30" s="167">
        <v>45248</v>
      </c>
      <c r="O30" s="166"/>
      <c r="P30" s="168">
        <v>3</v>
      </c>
      <c r="Q30" s="168">
        <v>3</v>
      </c>
      <c r="R30" s="169">
        <v>2</v>
      </c>
      <c r="S30" s="169">
        <v>2</v>
      </c>
      <c r="T30" s="167"/>
      <c r="U30" s="167"/>
      <c r="V30" s="170">
        <v>0</v>
      </c>
      <c r="W30" s="171">
        <v>0</v>
      </c>
      <c r="X30" s="172"/>
      <c r="Y30" s="166"/>
      <c r="Z30" s="173"/>
      <c r="AA30" s="176">
        <v>1</v>
      </c>
      <c r="AB30" s="176">
        <v>0</v>
      </c>
      <c r="AC30" s="214"/>
      <c r="AD30" s="215" t="str">
        <f>"    " &amp; TEXT(AB30,"#0.00%") &amp; " " &amp; "시스템 설계" &amp; " " &amp; IF(M30="","",TEXT(M30,"M/D-")) &amp; IF(N30="","",TEXT(N30,"M/D")) &amp; " "</f>
        <v xml:space="preserve">    0.00% 시스템 설계 11/16-11/18 </v>
      </c>
      <c r="AE30" s="215"/>
      <c r="AF30" s="215"/>
      <c r="AG30" s="215"/>
      <c r="AH30" s="215"/>
      <c r="AI30" s="215"/>
      <c r="AJ30" s="215"/>
      <c r="AK30" s="215"/>
      <c r="AL30" s="215"/>
      <c r="AM30" s="215"/>
      <c r="AN30" s="215"/>
      <c r="AO30" s="215"/>
      <c r="AP30" s="215"/>
      <c r="AQ30" s="215"/>
      <c r="AR30" s="215"/>
      <c r="AS30" s="215"/>
      <c r="AT30" s="215"/>
      <c r="AU30" s="215"/>
      <c r="AV30" s="215"/>
      <c r="AW30" s="215"/>
      <c r="AX30" s="215"/>
      <c r="AY30" s="215"/>
      <c r="AZ30" s="215"/>
      <c r="BA30" s="215"/>
      <c r="BB30" s="215"/>
      <c r="BC30" s="215"/>
      <c r="BD30" s="215"/>
      <c r="BE30" s="215"/>
      <c r="BF30" s="215"/>
      <c r="BG30" s="215"/>
      <c r="BH30" s="215"/>
      <c r="BI30" s="215"/>
      <c r="BJ30" s="215"/>
      <c r="BK30" s="215"/>
      <c r="BL30" s="215"/>
      <c r="BM30" s="215"/>
      <c r="BN30" s="215"/>
      <c r="BO30" s="215"/>
      <c r="BP30" s="215"/>
      <c r="BQ30" s="215"/>
      <c r="BR30" s="215"/>
      <c r="BS30" s="215"/>
      <c r="BT30" s="215"/>
      <c r="BU30" s="215"/>
      <c r="BV30" s="215"/>
      <c r="BW30" s="215"/>
      <c r="BX30" s="215"/>
      <c r="BY30" s="215"/>
      <c r="BZ30" s="215"/>
      <c r="CA30" s="215"/>
      <c r="CB30" s="215"/>
      <c r="CC30" s="215"/>
      <c r="CD30" s="215"/>
      <c r="CE30" s="215"/>
      <c r="CF30" s="215"/>
    </row>
    <row r="31" spans="1:84" ht="16.5" outlineLevel="3">
      <c r="A31" s="164"/>
      <c r="B31" s="164"/>
      <c r="C31" s="164">
        <v>4</v>
      </c>
      <c r="D31" s="165" t="s">
        <v>1016</v>
      </c>
      <c r="E31" s="166"/>
      <c r="F31" s="166"/>
      <c r="G31" s="166"/>
      <c r="H31" s="166" t="s">
        <v>268</v>
      </c>
      <c r="I31" s="166"/>
      <c r="J31" s="166"/>
      <c r="K31" s="174" t="s">
        <v>1234</v>
      </c>
      <c r="L31" s="166"/>
      <c r="M31" s="167">
        <v>45246</v>
      </c>
      <c r="N31" s="167">
        <v>45247</v>
      </c>
      <c r="O31" s="166"/>
      <c r="P31" s="168">
        <v>2</v>
      </c>
      <c r="Q31" s="168">
        <v>2</v>
      </c>
      <c r="R31" s="169">
        <v>2</v>
      </c>
      <c r="S31" s="169">
        <v>2</v>
      </c>
      <c r="T31" s="167">
        <v>45162</v>
      </c>
      <c r="U31" s="167"/>
      <c r="V31" s="170">
        <v>-32232</v>
      </c>
      <c r="W31" s="171">
        <v>0</v>
      </c>
      <c r="X31" s="172">
        <v>1</v>
      </c>
      <c r="Y31" s="166"/>
      <c r="Z31" s="173"/>
      <c r="AA31" s="176">
        <v>1</v>
      </c>
      <c r="AB31" s="176">
        <v>0</v>
      </c>
      <c r="AC31" s="214"/>
      <c r="AD31" s="215" t="str">
        <f>"    " &amp; TEXT(AB31,"#0.00%") &amp; " " &amp; "Architecture설계" &amp; " " &amp; IF(M31="","",TEXT(M31,"M/D-")) &amp; IF(N31="","",TEXT(N31,"M/D")) &amp; " "</f>
        <v xml:space="preserve">    0.00% Architecture설계 11/16-11/17 </v>
      </c>
      <c r="AE31" s="215"/>
      <c r="AF31" s="215"/>
      <c r="AG31" s="215"/>
      <c r="AH31" s="215"/>
      <c r="AI31" s="215"/>
      <c r="AJ31" s="215"/>
      <c r="AK31" s="215"/>
      <c r="AL31" s="215"/>
      <c r="AM31" s="215"/>
      <c r="AN31" s="215"/>
      <c r="AO31" s="215"/>
      <c r="AP31" s="215"/>
      <c r="AQ31" s="215"/>
      <c r="AR31" s="215"/>
      <c r="AS31" s="215"/>
      <c r="AT31" s="215"/>
      <c r="AU31" s="215"/>
      <c r="AV31" s="215"/>
      <c r="AW31" s="215"/>
      <c r="AX31" s="215"/>
      <c r="AY31" s="215"/>
      <c r="AZ31" s="215"/>
      <c r="BA31" s="215"/>
      <c r="BB31" s="215"/>
      <c r="BC31" s="215"/>
      <c r="BD31" s="215"/>
      <c r="BE31" s="215"/>
      <c r="BF31" s="215"/>
      <c r="BG31" s="215"/>
      <c r="BH31" s="215"/>
      <c r="BI31" s="215"/>
      <c r="BJ31" s="215"/>
      <c r="BK31" s="215"/>
      <c r="BL31" s="215"/>
      <c r="BM31" s="215"/>
      <c r="BN31" s="215"/>
      <c r="BO31" s="215"/>
      <c r="BP31" s="215"/>
      <c r="BQ31" s="215"/>
      <c r="BR31" s="215"/>
      <c r="BS31" s="215"/>
      <c r="BT31" s="215"/>
      <c r="BU31" s="215"/>
      <c r="BV31" s="215"/>
      <c r="BW31" s="215"/>
      <c r="BX31" s="215"/>
      <c r="BY31" s="215"/>
      <c r="BZ31" s="215"/>
      <c r="CA31" s="215"/>
      <c r="CB31" s="215"/>
      <c r="CC31" s="215"/>
      <c r="CD31" s="215"/>
      <c r="CE31" s="215"/>
      <c r="CF31" s="215"/>
    </row>
    <row r="32" spans="1:84" ht="16.5" outlineLevel="3">
      <c r="A32" s="164"/>
      <c r="B32" s="164"/>
      <c r="C32" s="164">
        <v>4</v>
      </c>
      <c r="D32" s="165" t="s">
        <v>980</v>
      </c>
      <c r="E32" s="166"/>
      <c r="F32" s="166"/>
      <c r="G32" s="166"/>
      <c r="H32" s="166" t="s">
        <v>764</v>
      </c>
      <c r="I32" s="166"/>
      <c r="J32" s="166"/>
      <c r="K32" s="177" t="s">
        <v>1260</v>
      </c>
      <c r="L32" s="166"/>
      <c r="M32" s="167">
        <v>45247</v>
      </c>
      <c r="N32" s="167">
        <v>45248</v>
      </c>
      <c r="O32" s="166"/>
      <c r="P32" s="168">
        <v>1</v>
      </c>
      <c r="Q32" s="168">
        <v>1</v>
      </c>
      <c r="R32" s="169">
        <v>1</v>
      </c>
      <c r="S32" s="169">
        <v>1</v>
      </c>
      <c r="T32" s="167"/>
      <c r="U32" s="167"/>
      <c r="V32" s="170"/>
      <c r="W32" s="171">
        <v>0</v>
      </c>
      <c r="X32" s="172">
        <v>1</v>
      </c>
      <c r="Y32" s="166"/>
      <c r="Z32" s="173"/>
      <c r="AA32" s="176">
        <v>1</v>
      </c>
      <c r="AB32" s="176">
        <v>0</v>
      </c>
      <c r="AC32" s="214"/>
      <c r="AD32" s="215" t="str">
        <f>"     " &amp; TEXT(AB32,"#0.00%") &amp; " " &amp; "데이터베이스설계" &amp; " " &amp; IF(M32="","",TEXT(M32,"M/D-")) &amp; IF(N32="","",TEXT(N32,"M/D")) &amp; " "</f>
        <v xml:space="preserve">     0.00% 데이터베이스설계 11/17-11/18 </v>
      </c>
      <c r="AE32" s="215"/>
      <c r="AF32" s="215"/>
      <c r="AG32" s="215"/>
      <c r="AH32" s="215"/>
      <c r="AI32" s="215"/>
      <c r="AJ32" s="215"/>
      <c r="AK32" s="215"/>
      <c r="AL32" s="215"/>
      <c r="AM32" s="215"/>
      <c r="AN32" s="215"/>
      <c r="AO32" s="215"/>
      <c r="AP32" s="215"/>
      <c r="AQ32" s="215"/>
      <c r="AR32" s="215"/>
      <c r="AS32" s="215"/>
      <c r="AT32" s="215"/>
      <c r="AU32" s="215"/>
      <c r="AV32" s="215"/>
      <c r="AW32" s="215"/>
      <c r="AX32" s="215"/>
      <c r="AY32" s="215"/>
      <c r="AZ32" s="215"/>
      <c r="BA32" s="215"/>
      <c r="BB32" s="215"/>
      <c r="BC32" s="215"/>
      <c r="BD32" s="215"/>
      <c r="BE32" s="215"/>
      <c r="BF32" s="215"/>
      <c r="BG32" s="215"/>
      <c r="BH32" s="215"/>
      <c r="BI32" s="215"/>
      <c r="BJ32" s="215"/>
      <c r="BK32" s="215"/>
      <c r="BL32" s="215"/>
      <c r="BM32" s="215"/>
      <c r="BN32" s="215"/>
      <c r="BO32" s="215"/>
      <c r="BP32" s="215"/>
      <c r="BQ32" s="215"/>
      <c r="BR32" s="215"/>
      <c r="BS32" s="215"/>
      <c r="BT32" s="215"/>
      <c r="BU32" s="215"/>
      <c r="BV32" s="215"/>
      <c r="BW32" s="215"/>
      <c r="BX32" s="215"/>
      <c r="BY32" s="215"/>
      <c r="BZ32" s="215"/>
      <c r="CA32" s="215"/>
      <c r="CB32" s="215"/>
      <c r="CC32" s="215"/>
      <c r="CD32" s="215"/>
      <c r="CE32" s="215"/>
      <c r="CF32" s="215"/>
    </row>
    <row r="33" spans="1:84" ht="16.5" outlineLevel="3">
      <c r="A33" s="164"/>
      <c r="B33" s="164"/>
      <c r="C33" s="164">
        <v>4</v>
      </c>
      <c r="D33" s="165" t="s">
        <v>966</v>
      </c>
      <c r="E33" s="166"/>
      <c r="F33" s="166"/>
      <c r="G33" s="166"/>
      <c r="H33" s="166" t="s">
        <v>981</v>
      </c>
      <c r="I33" s="166"/>
      <c r="J33" s="166"/>
      <c r="K33" s="178" t="s">
        <v>1261</v>
      </c>
      <c r="L33" s="166"/>
      <c r="M33" s="167">
        <v>45248</v>
      </c>
      <c r="N33" s="167">
        <v>45248</v>
      </c>
      <c r="O33" s="166"/>
      <c r="P33" s="168">
        <v>0</v>
      </c>
      <c r="Q33" s="168">
        <v>0</v>
      </c>
      <c r="R33" s="169">
        <v>0</v>
      </c>
      <c r="S33" s="169">
        <v>0</v>
      </c>
      <c r="T33" s="167"/>
      <c r="U33" s="167"/>
      <c r="V33" s="170"/>
      <c r="W33" s="171">
        <v>0</v>
      </c>
      <c r="X33" s="172">
        <v>1</v>
      </c>
      <c r="Y33" s="166"/>
      <c r="Z33" s="173" t="s">
        <v>1109</v>
      </c>
      <c r="AA33" s="176">
        <v>0</v>
      </c>
      <c r="AB33" s="176">
        <v>0</v>
      </c>
      <c r="AC33" s="214"/>
      <c r="AD33" s="215" t="str">
        <f>"      " &amp; TEXT(AB33,"#0.00%") &amp; " " &amp; "프로그램설계" &amp; " " &amp; IF(M33="","",TEXT(M33,"M/D-")) &amp; IF(N33="","",TEXT(N33,"M/D")) &amp; " "</f>
        <v xml:space="preserve">      0.00% 프로그램설계 11/18-11/18 </v>
      </c>
      <c r="AE33" s="215"/>
      <c r="AF33" s="215"/>
      <c r="AG33" s="215"/>
      <c r="AH33" s="215"/>
      <c r="AI33" s="215"/>
      <c r="AJ33" s="215"/>
      <c r="AK33" s="215"/>
      <c r="AL33" s="215"/>
      <c r="AM33" s="215"/>
      <c r="AN33" s="215"/>
      <c r="AO33" s="215"/>
      <c r="AP33" s="215"/>
      <c r="AQ33" s="215"/>
      <c r="AR33" s="215"/>
      <c r="AS33" s="215"/>
      <c r="AT33" s="215"/>
      <c r="AU33" s="215"/>
      <c r="AV33" s="215"/>
      <c r="AW33" s="215"/>
      <c r="AX33" s="215"/>
      <c r="AY33" s="215"/>
      <c r="AZ33" s="215"/>
      <c r="BA33" s="215"/>
      <c r="BB33" s="215"/>
      <c r="BC33" s="215"/>
      <c r="BD33" s="215"/>
      <c r="BE33" s="215"/>
      <c r="BF33" s="215"/>
      <c r="BG33" s="215"/>
      <c r="BH33" s="215"/>
      <c r="BI33" s="215"/>
      <c r="BJ33" s="215"/>
      <c r="BK33" s="215"/>
      <c r="BL33" s="215"/>
      <c r="BM33" s="215"/>
      <c r="BN33" s="215"/>
      <c r="BO33" s="215"/>
      <c r="BP33" s="215"/>
      <c r="BQ33" s="215"/>
      <c r="BR33" s="215"/>
      <c r="BS33" s="215"/>
      <c r="BT33" s="215"/>
      <c r="BU33" s="215"/>
      <c r="BV33" s="215"/>
      <c r="BW33" s="215"/>
      <c r="BX33" s="215"/>
      <c r="BY33" s="215"/>
      <c r="BZ33" s="215"/>
      <c r="CA33" s="215"/>
      <c r="CB33" s="215"/>
      <c r="CC33" s="215"/>
      <c r="CD33" s="215"/>
      <c r="CE33" s="215"/>
      <c r="CF33" s="215"/>
    </row>
    <row r="34" spans="1:84" ht="16.5" outlineLevel="2">
      <c r="A34" s="164"/>
      <c r="B34" s="164"/>
      <c r="C34" s="164">
        <v>3</v>
      </c>
      <c r="D34" s="165" t="s">
        <v>1034</v>
      </c>
      <c r="E34" s="166"/>
      <c r="F34" s="166"/>
      <c r="G34" s="166" t="s">
        <v>967</v>
      </c>
      <c r="H34" s="166"/>
      <c r="I34" s="166"/>
      <c r="J34" s="166"/>
      <c r="K34" s="166"/>
      <c r="L34" s="166"/>
      <c r="M34" s="167">
        <v>45251</v>
      </c>
      <c r="N34" s="167">
        <v>45251</v>
      </c>
      <c r="O34" s="166"/>
      <c r="P34" s="168">
        <v>1</v>
      </c>
      <c r="Q34" s="168">
        <v>0</v>
      </c>
      <c r="R34" s="169">
        <v>1</v>
      </c>
      <c r="S34" s="169">
        <v>0</v>
      </c>
      <c r="T34" s="167"/>
      <c r="U34" s="167"/>
      <c r="V34" s="170"/>
      <c r="W34" s="171">
        <v>0</v>
      </c>
      <c r="X34" s="172">
        <v>1</v>
      </c>
      <c r="Y34" s="166"/>
      <c r="Z34" s="173"/>
      <c r="AA34" s="176">
        <v>0</v>
      </c>
      <c r="AB34" s="176">
        <v>0</v>
      </c>
      <c r="AC34" s="214"/>
      <c r="AD34" s="215"/>
      <c r="AE34" s="215" t="str">
        <f>"  " &amp; TEXT(AB34,"#0.00%") &amp; " " &amp; "테스트 설계" &amp; " " &amp; IF(M34="","",TEXT(M34,"M/D-")) &amp; IF(N34="","",TEXT(N34,"M/D")) &amp; " "</f>
        <v xml:space="preserve">  0.00% 테스트 설계 11/21-11/21 </v>
      </c>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row>
    <row r="35" spans="1:84" ht="16.5" outlineLevel="1">
      <c r="A35" s="164"/>
      <c r="B35" s="164" t="s">
        <v>549</v>
      </c>
      <c r="C35" s="164">
        <v>2</v>
      </c>
      <c r="D35" s="165" t="s">
        <v>613</v>
      </c>
      <c r="E35" s="166"/>
      <c r="F35" s="166" t="s">
        <v>580</v>
      </c>
      <c r="G35" s="166"/>
      <c r="H35" s="166"/>
      <c r="I35" s="166"/>
      <c r="J35" s="166"/>
      <c r="K35" s="166"/>
      <c r="L35" s="166"/>
      <c r="M35" s="167">
        <v>45252</v>
      </c>
      <c r="N35" s="167">
        <v>45276</v>
      </c>
      <c r="O35" s="166"/>
      <c r="P35" s="168">
        <v>8</v>
      </c>
      <c r="Q35" s="168">
        <v>0</v>
      </c>
      <c r="R35" s="169">
        <v>18</v>
      </c>
      <c r="S35" s="169">
        <v>0</v>
      </c>
      <c r="T35" s="167"/>
      <c r="U35" s="167"/>
      <c r="V35" s="170">
        <v>0</v>
      </c>
      <c r="W35" s="171">
        <v>0</v>
      </c>
      <c r="X35" s="172"/>
      <c r="Y35" s="166"/>
      <c r="Z35" s="173"/>
      <c r="AA35" s="176">
        <v>0</v>
      </c>
      <c r="AB35" s="176">
        <v>0</v>
      </c>
      <c r="AC35" s="214"/>
      <c r="AD35" s="215"/>
      <c r="AE35" s="215" t="str">
        <f>"   " &amp; TEXT(AB35,"#0.00%") &amp; " "</f>
        <v xml:space="preserve">   0.00% </v>
      </c>
      <c r="AF35" s="215"/>
      <c r="AG35" s="215"/>
      <c r="AH35" s="215"/>
      <c r="AI35" s="215" t="str">
        <f>"" &amp; "개발" &amp; " " &amp; IF(M35="","",TEXT(M35,"M/D-")) &amp; IF(N35="","",TEXT(N35,"M/D")) &amp; " "</f>
        <v xml:space="preserve">개발 11/22-12/16 </v>
      </c>
      <c r="AJ35" s="215"/>
      <c r="AK35" s="215"/>
      <c r="AL35" s="215"/>
      <c r="AM35" s="215"/>
      <c r="AN35" s="215"/>
      <c r="AO35" s="215"/>
      <c r="AP35" s="215"/>
      <c r="AQ35" s="215"/>
      <c r="AR35" s="215"/>
      <c r="AS35" s="215"/>
      <c r="AT35" s="215"/>
      <c r="AU35" s="215"/>
      <c r="AV35" s="215"/>
      <c r="AW35" s="215"/>
      <c r="AX35" s="215"/>
      <c r="AY35" s="215"/>
      <c r="AZ35" s="215"/>
      <c r="BA35" s="215"/>
      <c r="BB35" s="215"/>
      <c r="BC35" s="215"/>
      <c r="BD35" s="215"/>
      <c r="BE35" s="215"/>
      <c r="BF35" s="215"/>
      <c r="BG35" s="215"/>
      <c r="BH35" s="215"/>
      <c r="BI35" s="215"/>
      <c r="BJ35" s="215"/>
      <c r="BK35" s="215"/>
      <c r="BL35" s="215"/>
      <c r="BM35" s="215"/>
      <c r="BN35" s="215"/>
      <c r="BO35" s="215"/>
      <c r="BP35" s="215"/>
      <c r="BQ35" s="215"/>
      <c r="BR35" s="215"/>
      <c r="BS35" s="215"/>
      <c r="BT35" s="215"/>
      <c r="BU35" s="215"/>
      <c r="BV35" s="215"/>
      <c r="BW35" s="215"/>
      <c r="BX35" s="215"/>
      <c r="BY35" s="215"/>
      <c r="BZ35" s="215"/>
      <c r="CA35" s="215"/>
      <c r="CB35" s="215"/>
      <c r="CC35" s="215"/>
      <c r="CD35" s="215"/>
      <c r="CE35" s="215"/>
      <c r="CF35" s="215"/>
    </row>
    <row r="36" spans="1:84" ht="16.5" outlineLevel="2">
      <c r="A36" s="164"/>
      <c r="B36" s="164" t="s">
        <v>549</v>
      </c>
      <c r="C36" s="164">
        <v>3</v>
      </c>
      <c r="D36" s="165" t="s">
        <v>1052</v>
      </c>
      <c r="E36" s="166"/>
      <c r="F36" s="166"/>
      <c r="G36" s="166" t="s">
        <v>1027</v>
      </c>
      <c r="H36" s="166"/>
      <c r="I36" s="166"/>
      <c r="J36" s="166"/>
      <c r="K36" s="166"/>
      <c r="L36" s="166"/>
      <c r="M36" s="167">
        <v>45252</v>
      </c>
      <c r="N36" s="167">
        <v>45255</v>
      </c>
      <c r="O36" s="166"/>
      <c r="P36" s="168">
        <v>3</v>
      </c>
      <c r="Q36" s="168">
        <v>0</v>
      </c>
      <c r="R36" s="169">
        <v>3</v>
      </c>
      <c r="S36" s="169">
        <v>0</v>
      </c>
      <c r="T36" s="167"/>
      <c r="U36" s="167"/>
      <c r="V36" s="170">
        <v>0</v>
      </c>
      <c r="W36" s="171">
        <v>0</v>
      </c>
      <c r="X36" s="172"/>
      <c r="Y36" s="166"/>
      <c r="Z36" s="173"/>
      <c r="AA36" s="176">
        <v>0</v>
      </c>
      <c r="AB36" s="176">
        <v>0</v>
      </c>
      <c r="AC36" s="214"/>
      <c r="AD36" s="215"/>
      <c r="AE36" s="215" t="str">
        <f>"   " &amp; TEXT(AB36,"#0.00%") &amp; " " &amp; "프로그램 개발" &amp; " " &amp; IF(M36="","",TEXT(M36,"M/D-")) &amp; IF(N36="","",TEXT(N36,"M/D")) &amp; " "</f>
        <v xml:space="preserve">   0.00% 프로그램 개발 11/22-11/25 </v>
      </c>
      <c r="AF36" s="215"/>
      <c r="AG36" s="215"/>
      <c r="AH36" s="215"/>
      <c r="AI36" s="215"/>
      <c r="AJ36" s="215"/>
      <c r="AK36" s="215"/>
      <c r="AL36" s="215"/>
      <c r="AM36" s="215"/>
      <c r="AN36" s="215"/>
      <c r="AO36" s="215"/>
      <c r="AP36" s="215"/>
      <c r="AQ36" s="215"/>
      <c r="AR36" s="215"/>
      <c r="AS36" s="215"/>
      <c r="AT36" s="215"/>
      <c r="AU36" s="215"/>
      <c r="AV36" s="215"/>
      <c r="AW36" s="215"/>
      <c r="AX36" s="215"/>
      <c r="AY36" s="215"/>
      <c r="AZ36" s="215"/>
      <c r="BA36" s="215"/>
      <c r="BB36" s="215"/>
      <c r="BC36" s="215"/>
      <c r="BD36" s="215"/>
      <c r="BE36" s="215"/>
      <c r="BF36" s="215"/>
      <c r="BG36" s="215"/>
      <c r="BH36" s="215"/>
      <c r="BI36" s="215"/>
      <c r="BJ36" s="215"/>
      <c r="BK36" s="215"/>
      <c r="BL36" s="215"/>
      <c r="BM36" s="215"/>
      <c r="BN36" s="215"/>
      <c r="BO36" s="215"/>
      <c r="BP36" s="215"/>
      <c r="BQ36" s="215"/>
      <c r="BR36" s="215"/>
      <c r="BS36" s="215"/>
      <c r="BT36" s="215"/>
      <c r="BU36" s="215"/>
      <c r="BV36" s="215"/>
      <c r="BW36" s="215"/>
      <c r="BX36" s="215"/>
      <c r="BY36" s="215"/>
      <c r="BZ36" s="215"/>
      <c r="CA36" s="215"/>
      <c r="CB36" s="215"/>
      <c r="CC36" s="215"/>
      <c r="CD36" s="215"/>
      <c r="CE36" s="215"/>
      <c r="CF36" s="215"/>
    </row>
    <row r="37" spans="1:84" ht="16.5" outlineLevel="3">
      <c r="A37" s="164"/>
      <c r="B37" s="164"/>
      <c r="C37" s="164">
        <v>4</v>
      </c>
      <c r="D37" s="165" t="s">
        <v>1024</v>
      </c>
      <c r="E37" s="166"/>
      <c r="F37" s="166"/>
      <c r="G37" s="166"/>
      <c r="H37" s="166" t="s">
        <v>756</v>
      </c>
      <c r="I37" s="166"/>
      <c r="J37" s="166"/>
      <c r="K37" s="166"/>
      <c r="L37" s="166"/>
      <c r="M37" s="167">
        <v>45252</v>
      </c>
      <c r="N37" s="167">
        <v>45255</v>
      </c>
      <c r="O37" s="166"/>
      <c r="P37" s="168">
        <v>3</v>
      </c>
      <c r="Q37" s="168">
        <v>0</v>
      </c>
      <c r="R37" s="169">
        <v>3</v>
      </c>
      <c r="S37" s="169">
        <v>0</v>
      </c>
      <c r="T37" s="167"/>
      <c r="U37" s="167"/>
      <c r="V37" s="170"/>
      <c r="W37" s="171">
        <v>0</v>
      </c>
      <c r="X37" s="172">
        <v>1</v>
      </c>
      <c r="Y37" s="166"/>
      <c r="Z37" s="173"/>
      <c r="AA37" s="176">
        <v>0</v>
      </c>
      <c r="AB37" s="176">
        <v>0</v>
      </c>
      <c r="AC37" s="214"/>
      <c r="AD37" s="215"/>
      <c r="AE37" s="215" t="str">
        <f>"   " &amp; TEXT(AB37,"#0.00%") &amp; " " &amp; "단위테스트시나리오작성" &amp; " " &amp; IF(M37="","",TEXT(M37,"M/D-")) &amp; IF(N37="","",TEXT(N37,"M/D")) &amp; " "</f>
        <v xml:space="preserve">   0.00% 단위테스트시나리오작성 11/22-11/25 </v>
      </c>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row>
    <row r="38" spans="1:84" ht="16.5" outlineLevel="3">
      <c r="A38" s="164"/>
      <c r="B38" s="164" t="s">
        <v>549</v>
      </c>
      <c r="C38" s="164">
        <v>4</v>
      </c>
      <c r="D38" s="165" t="s">
        <v>1046</v>
      </c>
      <c r="E38" s="166"/>
      <c r="F38" s="166"/>
      <c r="G38" s="166"/>
      <c r="H38" s="166" t="s">
        <v>263</v>
      </c>
      <c r="I38" s="166"/>
      <c r="J38" s="166"/>
      <c r="K38" s="166"/>
      <c r="L38" s="166"/>
      <c r="M38" s="167"/>
      <c r="N38" s="167"/>
      <c r="O38" s="166"/>
      <c r="P38" s="168">
        <v>0</v>
      </c>
      <c r="Q38" s="168">
        <v>0</v>
      </c>
      <c r="R38" s="169">
        <v>0</v>
      </c>
      <c r="S38" s="169">
        <v>0</v>
      </c>
      <c r="T38" s="167"/>
      <c r="U38" s="167"/>
      <c r="V38" s="170">
        <v>0</v>
      </c>
      <c r="W38" s="171">
        <v>0</v>
      </c>
      <c r="X38" s="172"/>
      <c r="Y38" s="166"/>
      <c r="Z38" s="173"/>
      <c r="AA38" s="176">
        <v>0</v>
      </c>
      <c r="AB38" s="176">
        <v>0</v>
      </c>
      <c r="AC38" s="214"/>
      <c r="AD38" s="215"/>
      <c r="AE38" s="215"/>
      <c r="AF38" s="215"/>
      <c r="AG38" s="215"/>
      <c r="AH38" s="215"/>
      <c r="AI38" s="215"/>
      <c r="AJ38" s="215"/>
      <c r="AK38" s="215"/>
      <c r="AL38" s="215"/>
      <c r="AM38" s="215"/>
      <c r="AN38" s="215"/>
      <c r="AO38" s="215"/>
      <c r="AP38" s="215"/>
      <c r="AQ38" s="215"/>
      <c r="AR38" s="215"/>
      <c r="AS38" s="215"/>
      <c r="AT38" s="215"/>
      <c r="AU38" s="215"/>
      <c r="AV38" s="215"/>
      <c r="AW38" s="215"/>
      <c r="AX38" s="215"/>
      <c r="AY38" s="215"/>
      <c r="AZ38" s="215"/>
      <c r="BA38" s="215"/>
      <c r="BB38" s="215"/>
      <c r="BC38" s="215"/>
      <c r="BD38" s="215"/>
      <c r="BE38" s="215"/>
      <c r="BF38" s="215"/>
      <c r="BG38" s="215"/>
      <c r="BH38" s="215"/>
      <c r="BI38" s="215"/>
      <c r="BJ38" s="215"/>
      <c r="BK38" s="215"/>
      <c r="BL38" s="215"/>
      <c r="BM38" s="215"/>
      <c r="BN38" s="215"/>
      <c r="BO38" s="215"/>
      <c r="BP38" s="215"/>
      <c r="BQ38" s="215"/>
      <c r="BR38" s="215"/>
      <c r="BS38" s="215"/>
      <c r="BT38" s="215"/>
      <c r="BU38" s="215"/>
      <c r="BV38" s="215"/>
      <c r="BW38" s="215"/>
      <c r="BX38" s="215"/>
      <c r="BY38" s="215"/>
      <c r="BZ38" s="215"/>
      <c r="CA38" s="215"/>
      <c r="CB38" s="215"/>
      <c r="CC38" s="215"/>
      <c r="CD38" s="215"/>
      <c r="CE38" s="215"/>
      <c r="CF38" s="215"/>
    </row>
    <row r="39" spans="1:84" ht="16.5" outlineLevel="4">
      <c r="A39" s="164"/>
      <c r="B39" s="164" t="s">
        <v>549</v>
      </c>
      <c r="C39" s="164">
        <v>5</v>
      </c>
      <c r="D39" s="165" t="s">
        <v>762</v>
      </c>
      <c r="E39" s="166"/>
      <c r="F39" s="166"/>
      <c r="G39" s="166"/>
      <c r="H39" s="166"/>
      <c r="I39" s="166" t="s">
        <v>559</v>
      </c>
      <c r="J39" s="166"/>
      <c r="K39" s="166"/>
      <c r="L39" s="166"/>
      <c r="M39" s="167"/>
      <c r="N39" s="167"/>
      <c r="O39" s="166"/>
      <c r="P39" s="168">
        <v>0</v>
      </c>
      <c r="Q39" s="168">
        <v>0</v>
      </c>
      <c r="R39" s="169">
        <v>0</v>
      </c>
      <c r="S39" s="169">
        <v>0</v>
      </c>
      <c r="T39" s="167"/>
      <c r="U39" s="167"/>
      <c r="V39" s="170">
        <v>0</v>
      </c>
      <c r="W39" s="171">
        <v>0</v>
      </c>
      <c r="X39" s="172"/>
      <c r="Y39" s="166"/>
      <c r="Z39" s="173"/>
      <c r="AA39" s="176">
        <v>0</v>
      </c>
      <c r="AB39" s="176">
        <v>0</v>
      </c>
      <c r="AC39" s="214"/>
      <c r="AD39" s="215"/>
      <c r="AE39" s="215"/>
      <c r="AF39" s="215"/>
      <c r="AG39" s="215"/>
      <c r="AH39" s="215"/>
      <c r="AI39" s="215"/>
      <c r="AJ39" s="215"/>
      <c r="AK39" s="215"/>
      <c r="AL39" s="215"/>
      <c r="AM39" s="215"/>
      <c r="AN39" s="215"/>
      <c r="AO39" s="215"/>
      <c r="AP39" s="215"/>
      <c r="AQ39" s="215"/>
      <c r="AR39" s="215"/>
      <c r="AS39" s="215"/>
      <c r="AT39" s="215"/>
      <c r="AU39" s="215"/>
      <c r="AV39" s="215"/>
      <c r="AW39" s="215"/>
      <c r="AX39" s="215"/>
      <c r="AY39" s="215"/>
      <c r="AZ39" s="215"/>
      <c r="BA39" s="215"/>
      <c r="BB39" s="215"/>
      <c r="BC39" s="215"/>
      <c r="BD39" s="215"/>
      <c r="BE39" s="215"/>
      <c r="BF39" s="215"/>
      <c r="BG39" s="215"/>
      <c r="BH39" s="215"/>
      <c r="BI39" s="215"/>
      <c r="BJ39" s="215"/>
      <c r="BK39" s="215"/>
      <c r="BL39" s="215"/>
      <c r="BM39" s="215"/>
      <c r="BN39" s="215"/>
      <c r="BO39" s="215"/>
      <c r="BP39" s="215"/>
      <c r="BQ39" s="215"/>
      <c r="BR39" s="215"/>
      <c r="BS39" s="215"/>
      <c r="BT39" s="215"/>
      <c r="BU39" s="215"/>
      <c r="BV39" s="215"/>
      <c r="BW39" s="215"/>
      <c r="BX39" s="215"/>
      <c r="BY39" s="215"/>
      <c r="BZ39" s="215"/>
      <c r="CA39" s="215"/>
      <c r="CB39" s="215"/>
      <c r="CC39" s="215"/>
      <c r="CD39" s="215"/>
      <c r="CE39" s="215"/>
      <c r="CF39" s="215"/>
    </row>
    <row r="40" spans="1:84" ht="16.5" outlineLevel="5">
      <c r="A40" s="164"/>
      <c r="B40" s="164"/>
      <c r="C40" s="164">
        <v>6</v>
      </c>
      <c r="D40" s="165" t="s">
        <v>761</v>
      </c>
      <c r="E40" s="166"/>
      <c r="F40" s="166"/>
      <c r="G40" s="166"/>
      <c r="H40" s="166"/>
      <c r="I40" s="166"/>
      <c r="J40" s="166" t="s">
        <v>1017</v>
      </c>
      <c r="K40" s="166"/>
      <c r="L40" s="166"/>
      <c r="M40" s="167"/>
      <c r="N40" s="167"/>
      <c r="O40" s="166"/>
      <c r="P40" s="168">
        <v>0</v>
      </c>
      <c r="Q40" s="168">
        <v>0</v>
      </c>
      <c r="R40" s="169">
        <v>0</v>
      </c>
      <c r="S40" s="169">
        <v>0</v>
      </c>
      <c r="T40" s="167"/>
      <c r="U40" s="167"/>
      <c r="V40" s="170">
        <v>0</v>
      </c>
      <c r="W40" s="171">
        <v>0</v>
      </c>
      <c r="X40" s="172">
        <v>1</v>
      </c>
      <c r="Y40" s="166"/>
      <c r="Z40" s="173"/>
      <c r="AA40" s="176">
        <v>0</v>
      </c>
      <c r="AB40" s="176">
        <v>0</v>
      </c>
      <c r="AC40" s="214"/>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row>
    <row r="41" spans="1:84" ht="16.5" outlineLevel="5">
      <c r="A41" s="164"/>
      <c r="B41" s="164"/>
      <c r="C41" s="164">
        <v>6</v>
      </c>
      <c r="D41" s="165" t="s">
        <v>786</v>
      </c>
      <c r="E41" s="166"/>
      <c r="F41" s="166"/>
      <c r="G41" s="166"/>
      <c r="H41" s="166"/>
      <c r="I41" s="166"/>
      <c r="J41" s="166" t="s">
        <v>1029</v>
      </c>
      <c r="K41" s="166"/>
      <c r="L41" s="166"/>
      <c r="M41" s="167"/>
      <c r="N41" s="167"/>
      <c r="O41" s="166"/>
      <c r="P41" s="168">
        <v>0</v>
      </c>
      <c r="Q41" s="168">
        <v>0</v>
      </c>
      <c r="R41" s="169">
        <v>0</v>
      </c>
      <c r="S41" s="169">
        <v>0</v>
      </c>
      <c r="T41" s="167"/>
      <c r="U41" s="167"/>
      <c r="V41" s="170">
        <v>0</v>
      </c>
      <c r="W41" s="171">
        <v>0</v>
      </c>
      <c r="X41" s="172">
        <v>1</v>
      </c>
      <c r="Y41" s="166"/>
      <c r="Z41" s="173"/>
      <c r="AA41" s="176">
        <v>0</v>
      </c>
      <c r="AB41" s="176">
        <v>0</v>
      </c>
      <c r="AC41" s="214"/>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row>
    <row r="42" spans="1:84" ht="16.5" outlineLevel="5">
      <c r="A42" s="164"/>
      <c r="B42" s="164"/>
      <c r="C42" s="164">
        <v>6</v>
      </c>
      <c r="D42" s="165" t="s">
        <v>775</v>
      </c>
      <c r="E42" s="166"/>
      <c r="F42" s="166"/>
      <c r="G42" s="166"/>
      <c r="H42" s="166"/>
      <c r="I42" s="166"/>
      <c r="J42" s="166" t="s">
        <v>1038</v>
      </c>
      <c r="K42" s="166"/>
      <c r="L42" s="166"/>
      <c r="M42" s="167"/>
      <c r="N42" s="167"/>
      <c r="O42" s="166"/>
      <c r="P42" s="168">
        <v>0</v>
      </c>
      <c r="Q42" s="168">
        <v>0</v>
      </c>
      <c r="R42" s="169">
        <v>0</v>
      </c>
      <c r="S42" s="169">
        <v>0</v>
      </c>
      <c r="T42" s="167"/>
      <c r="U42" s="167"/>
      <c r="V42" s="170">
        <v>0</v>
      </c>
      <c r="W42" s="171">
        <v>0</v>
      </c>
      <c r="X42" s="172">
        <v>1</v>
      </c>
      <c r="Y42" s="166"/>
      <c r="Z42" s="173"/>
      <c r="AA42" s="176">
        <v>0</v>
      </c>
      <c r="AB42" s="176">
        <v>0</v>
      </c>
      <c r="AC42" s="214"/>
      <c r="AD42" s="215"/>
      <c r="AE42" s="215"/>
      <c r="AF42" s="215"/>
      <c r="AG42" s="215"/>
      <c r="AH42" s="215"/>
      <c r="AI42" s="215"/>
      <c r="AJ42" s="215"/>
      <c r="AK42" s="215"/>
      <c r="AL42" s="215"/>
      <c r="AM42" s="215"/>
      <c r="AN42" s="215"/>
      <c r="AO42" s="215"/>
      <c r="AP42" s="215"/>
      <c r="AQ42" s="215"/>
      <c r="AR42" s="215"/>
      <c r="AS42" s="215"/>
      <c r="AT42" s="215"/>
      <c r="AU42" s="215"/>
      <c r="AV42" s="215"/>
      <c r="AW42" s="215"/>
      <c r="AX42" s="215"/>
      <c r="AY42" s="215"/>
      <c r="AZ42" s="215"/>
      <c r="BA42" s="215"/>
      <c r="BB42" s="215"/>
      <c r="BC42" s="215"/>
      <c r="BD42" s="215"/>
      <c r="BE42" s="215"/>
      <c r="BF42" s="215"/>
      <c r="BG42" s="215"/>
      <c r="BH42" s="215"/>
      <c r="BI42" s="215"/>
      <c r="BJ42" s="215"/>
      <c r="BK42" s="215"/>
      <c r="BL42" s="215"/>
      <c r="BM42" s="215"/>
      <c r="BN42" s="215"/>
      <c r="BO42" s="215"/>
      <c r="BP42" s="215"/>
      <c r="BQ42" s="215"/>
      <c r="BR42" s="215"/>
      <c r="BS42" s="215"/>
      <c r="BT42" s="215"/>
      <c r="BU42" s="215"/>
      <c r="BV42" s="215"/>
      <c r="BW42" s="215"/>
      <c r="BX42" s="215"/>
      <c r="BY42" s="215"/>
      <c r="BZ42" s="215"/>
      <c r="CA42" s="215"/>
      <c r="CB42" s="215"/>
      <c r="CC42" s="215"/>
      <c r="CD42" s="215"/>
      <c r="CE42" s="215"/>
      <c r="CF42" s="215"/>
    </row>
    <row r="43" spans="1:84" ht="16.5" outlineLevel="4">
      <c r="A43" s="164"/>
      <c r="B43" s="164"/>
      <c r="C43" s="164">
        <v>5</v>
      </c>
      <c r="D43" s="165" t="s">
        <v>767</v>
      </c>
      <c r="E43" s="166"/>
      <c r="F43" s="166"/>
      <c r="G43" s="166"/>
      <c r="H43" s="166"/>
      <c r="I43" s="166" t="s">
        <v>569</v>
      </c>
      <c r="J43" s="166"/>
      <c r="K43" s="166"/>
      <c r="L43" s="166"/>
      <c r="M43" s="167"/>
      <c r="N43" s="167"/>
      <c r="O43" s="166"/>
      <c r="P43" s="168">
        <v>0</v>
      </c>
      <c r="Q43" s="168">
        <v>0</v>
      </c>
      <c r="R43" s="169">
        <v>0</v>
      </c>
      <c r="S43" s="169">
        <v>0</v>
      </c>
      <c r="T43" s="167"/>
      <c r="U43" s="167"/>
      <c r="V43" s="170">
        <v>0</v>
      </c>
      <c r="W43" s="171">
        <v>0</v>
      </c>
      <c r="X43" s="172">
        <v>1</v>
      </c>
      <c r="Y43" s="166"/>
      <c r="Z43" s="173"/>
      <c r="AA43" s="176">
        <v>0</v>
      </c>
      <c r="AB43" s="176">
        <v>0</v>
      </c>
      <c r="AC43" s="214"/>
      <c r="AD43" s="215"/>
      <c r="AE43" s="215"/>
      <c r="AF43" s="215"/>
      <c r="AG43" s="215"/>
      <c r="AH43" s="215"/>
      <c r="AI43" s="215"/>
      <c r="AJ43" s="215"/>
      <c r="AK43" s="215"/>
      <c r="AL43" s="215"/>
      <c r="AM43" s="215"/>
      <c r="AN43" s="215"/>
      <c r="AO43" s="215"/>
      <c r="AP43" s="215"/>
      <c r="AQ43" s="215"/>
      <c r="AR43" s="215"/>
      <c r="AS43" s="215"/>
      <c r="AT43" s="215"/>
      <c r="AU43" s="215"/>
      <c r="AV43" s="215"/>
      <c r="AW43" s="215"/>
      <c r="AX43" s="215"/>
      <c r="AY43" s="215"/>
      <c r="AZ43" s="215"/>
      <c r="BA43" s="215"/>
      <c r="BB43" s="215"/>
      <c r="BC43" s="215"/>
      <c r="BD43" s="215"/>
      <c r="BE43" s="215"/>
      <c r="BF43" s="215"/>
      <c r="BG43" s="215"/>
      <c r="BH43" s="215"/>
      <c r="BI43" s="215"/>
      <c r="BJ43" s="215"/>
      <c r="BK43" s="215"/>
      <c r="BL43" s="215"/>
      <c r="BM43" s="215"/>
      <c r="BN43" s="215"/>
      <c r="BO43" s="215"/>
      <c r="BP43" s="215"/>
      <c r="BQ43" s="215"/>
      <c r="BR43" s="215"/>
      <c r="BS43" s="215"/>
      <c r="BT43" s="215"/>
      <c r="BU43" s="215"/>
      <c r="BV43" s="215"/>
      <c r="BW43" s="215"/>
      <c r="BX43" s="215"/>
      <c r="BY43" s="215"/>
      <c r="BZ43" s="215"/>
      <c r="CA43" s="215"/>
      <c r="CB43" s="215"/>
      <c r="CC43" s="215"/>
      <c r="CD43" s="215"/>
      <c r="CE43" s="215"/>
      <c r="CF43" s="215"/>
    </row>
    <row r="44" spans="1:84" ht="16.5" outlineLevel="4">
      <c r="A44" s="164"/>
      <c r="B44" s="164"/>
      <c r="C44" s="164">
        <v>5</v>
      </c>
      <c r="D44" s="165" t="s">
        <v>766</v>
      </c>
      <c r="E44" s="166"/>
      <c r="F44" s="166"/>
      <c r="G44" s="166"/>
      <c r="H44" s="166"/>
      <c r="I44" s="166" t="s">
        <v>603</v>
      </c>
      <c r="J44" s="166"/>
      <c r="K44" s="166"/>
      <c r="L44" s="166"/>
      <c r="M44" s="167"/>
      <c r="N44" s="167"/>
      <c r="O44" s="166"/>
      <c r="P44" s="168">
        <v>0</v>
      </c>
      <c r="Q44" s="168">
        <v>0</v>
      </c>
      <c r="R44" s="169">
        <v>0</v>
      </c>
      <c r="S44" s="169">
        <v>0</v>
      </c>
      <c r="T44" s="167"/>
      <c r="U44" s="167"/>
      <c r="V44" s="170">
        <v>0</v>
      </c>
      <c r="W44" s="171">
        <v>0</v>
      </c>
      <c r="X44" s="172">
        <v>1</v>
      </c>
      <c r="Y44" s="166"/>
      <c r="Z44" s="173"/>
      <c r="AA44" s="176">
        <v>0</v>
      </c>
      <c r="AB44" s="176">
        <v>0</v>
      </c>
      <c r="AC44" s="214"/>
      <c r="AD44" s="215"/>
      <c r="AE44" s="215"/>
      <c r="AF44" s="215"/>
      <c r="AG44" s="215"/>
      <c r="AH44" s="215"/>
      <c r="AI44" s="215"/>
      <c r="AJ44" s="215"/>
      <c r="AK44" s="215"/>
      <c r="AL44" s="215"/>
      <c r="AM44" s="215"/>
      <c r="AN44" s="215"/>
      <c r="AO44" s="215"/>
      <c r="AP44" s="215"/>
      <c r="AQ44" s="215"/>
      <c r="AR44" s="215"/>
      <c r="AS44" s="215"/>
      <c r="AT44" s="215"/>
      <c r="AU44" s="215"/>
      <c r="AV44" s="215"/>
      <c r="AW44" s="215"/>
      <c r="AX44" s="215"/>
      <c r="AY44" s="215"/>
      <c r="AZ44" s="215"/>
      <c r="BA44" s="215"/>
      <c r="BB44" s="215"/>
      <c r="BC44" s="215"/>
      <c r="BD44" s="215"/>
      <c r="BE44" s="215"/>
      <c r="BF44" s="215"/>
      <c r="BG44" s="215"/>
      <c r="BH44" s="215"/>
      <c r="BI44" s="215"/>
      <c r="BJ44" s="215"/>
      <c r="BK44" s="215"/>
      <c r="BL44" s="215"/>
      <c r="BM44" s="215"/>
      <c r="BN44" s="215"/>
      <c r="BO44" s="215"/>
      <c r="BP44" s="215"/>
      <c r="BQ44" s="215"/>
      <c r="BR44" s="215"/>
      <c r="BS44" s="215"/>
      <c r="BT44" s="215"/>
      <c r="BU44" s="215"/>
      <c r="BV44" s="215"/>
      <c r="BW44" s="215"/>
      <c r="BX44" s="215"/>
      <c r="BY44" s="215"/>
      <c r="BZ44" s="215"/>
      <c r="CA44" s="215"/>
      <c r="CB44" s="215"/>
      <c r="CC44" s="215"/>
      <c r="CD44" s="215"/>
      <c r="CE44" s="215"/>
      <c r="CF44" s="215"/>
    </row>
    <row r="45" spans="1:84" ht="16.5" outlineLevel="4">
      <c r="A45" s="164"/>
      <c r="B45" s="164"/>
      <c r="C45" s="164">
        <v>5</v>
      </c>
      <c r="D45" s="165" t="s">
        <v>772</v>
      </c>
      <c r="E45" s="166"/>
      <c r="F45" s="166"/>
      <c r="G45" s="166"/>
      <c r="H45" s="166"/>
      <c r="I45" s="166" t="s">
        <v>601</v>
      </c>
      <c r="J45" s="166"/>
      <c r="K45" s="166"/>
      <c r="L45" s="166"/>
      <c r="M45" s="167"/>
      <c r="N45" s="167"/>
      <c r="O45" s="166"/>
      <c r="P45" s="168">
        <v>0</v>
      </c>
      <c r="Q45" s="168">
        <v>0</v>
      </c>
      <c r="R45" s="169">
        <v>0</v>
      </c>
      <c r="S45" s="169">
        <v>0</v>
      </c>
      <c r="T45" s="167"/>
      <c r="U45" s="167"/>
      <c r="V45" s="170">
        <v>0</v>
      </c>
      <c r="W45" s="171">
        <v>0</v>
      </c>
      <c r="X45" s="172">
        <v>1</v>
      </c>
      <c r="Y45" s="166"/>
      <c r="Z45" s="173"/>
      <c r="AA45" s="176">
        <v>0</v>
      </c>
      <c r="AB45" s="176">
        <v>0</v>
      </c>
      <c r="AC45" s="214"/>
      <c r="AD45" s="215"/>
      <c r="AE45" s="215"/>
      <c r="AF45" s="215"/>
      <c r="AG45" s="215"/>
      <c r="AH45" s="215"/>
      <c r="AI45" s="215"/>
      <c r="AJ45" s="215"/>
      <c r="AK45" s="215"/>
      <c r="AL45" s="215"/>
      <c r="AM45" s="215"/>
      <c r="AN45" s="215"/>
      <c r="AO45" s="215"/>
      <c r="AP45" s="215"/>
      <c r="AQ45" s="215"/>
      <c r="AR45" s="215"/>
      <c r="AS45" s="215"/>
      <c r="AT45" s="215"/>
      <c r="AU45" s="215"/>
      <c r="AV45" s="215"/>
      <c r="AW45" s="215"/>
      <c r="AX45" s="215"/>
      <c r="AY45" s="215"/>
      <c r="AZ45" s="215"/>
      <c r="BA45" s="215"/>
      <c r="BB45" s="215"/>
      <c r="BC45" s="215"/>
      <c r="BD45" s="215"/>
      <c r="BE45" s="215"/>
      <c r="BF45" s="215"/>
      <c r="BG45" s="215"/>
      <c r="BH45" s="215"/>
      <c r="BI45" s="215"/>
      <c r="BJ45" s="215"/>
      <c r="BK45" s="215"/>
      <c r="BL45" s="215"/>
      <c r="BM45" s="215"/>
      <c r="BN45" s="215"/>
      <c r="BO45" s="215"/>
      <c r="BP45" s="215"/>
      <c r="BQ45" s="215"/>
      <c r="BR45" s="215"/>
      <c r="BS45" s="215"/>
      <c r="BT45" s="215"/>
      <c r="BU45" s="215"/>
      <c r="BV45" s="215"/>
      <c r="BW45" s="215"/>
      <c r="BX45" s="215"/>
      <c r="BY45" s="215"/>
      <c r="BZ45" s="215"/>
      <c r="CA45" s="215"/>
      <c r="CB45" s="215"/>
      <c r="CC45" s="215"/>
      <c r="CD45" s="215"/>
      <c r="CE45" s="215"/>
      <c r="CF45" s="215"/>
    </row>
    <row r="46" spans="1:84" ht="16.5" outlineLevel="2">
      <c r="A46" s="164"/>
      <c r="B46" s="164" t="s">
        <v>549</v>
      </c>
      <c r="C46" s="164">
        <v>3</v>
      </c>
      <c r="D46" s="165" t="s">
        <v>1104</v>
      </c>
      <c r="E46" s="166"/>
      <c r="F46" s="166"/>
      <c r="G46" s="166" t="s">
        <v>1079</v>
      </c>
      <c r="H46" s="166"/>
      <c r="I46" s="166"/>
      <c r="J46" s="166"/>
      <c r="K46" s="166"/>
      <c r="L46" s="166"/>
      <c r="M46" s="167">
        <v>45272</v>
      </c>
      <c r="N46" s="167">
        <v>45276</v>
      </c>
      <c r="O46" s="166"/>
      <c r="P46" s="168">
        <v>5</v>
      </c>
      <c r="Q46" s="168">
        <v>0</v>
      </c>
      <c r="R46" s="169">
        <v>4</v>
      </c>
      <c r="S46" s="169">
        <v>0</v>
      </c>
      <c r="T46" s="167"/>
      <c r="U46" s="167"/>
      <c r="V46" s="170">
        <v>0</v>
      </c>
      <c r="W46" s="171">
        <v>0</v>
      </c>
      <c r="X46" s="172"/>
      <c r="Y46" s="166"/>
      <c r="Z46" s="173"/>
      <c r="AA46" s="176">
        <v>0</v>
      </c>
      <c r="AB46" s="176">
        <v>0</v>
      </c>
      <c r="AC46" s="214"/>
      <c r="AD46" s="215"/>
      <c r="AE46" s="215"/>
      <c r="AF46" s="215"/>
      <c r="AG46" s="215"/>
      <c r="AH46" s="215" t="str">
        <f>"  " &amp; TEXT(AB46,"#0.00%") &amp; " " &amp; "테스트실시" &amp; " " &amp; IF(M46="","",TEXT(M46,"M/D-")) &amp; IF(N46="","",TEXT(N46,"M/D")) &amp; " "</f>
        <v xml:space="preserve">  0.00% 테스트실시 12/12-12/16 </v>
      </c>
      <c r="AI46" s="215"/>
      <c r="AJ46" s="215"/>
      <c r="AK46" s="215"/>
      <c r="AL46" s="215"/>
      <c r="AM46" s="215"/>
      <c r="AN46" s="215"/>
      <c r="AO46" s="215"/>
      <c r="AP46" s="215"/>
      <c r="AQ46" s="215"/>
      <c r="AR46" s="215"/>
      <c r="AS46" s="215"/>
      <c r="AT46" s="215"/>
      <c r="AU46" s="215"/>
      <c r="AV46" s="215"/>
      <c r="AW46" s="215"/>
      <c r="AX46" s="215"/>
      <c r="AY46" s="215"/>
      <c r="AZ46" s="215"/>
      <c r="BA46" s="215"/>
      <c r="BB46" s="215"/>
      <c r="BC46" s="215"/>
      <c r="BD46" s="215"/>
      <c r="BE46" s="215"/>
      <c r="BF46" s="215"/>
      <c r="BG46" s="215"/>
      <c r="BH46" s="215"/>
      <c r="BI46" s="215"/>
      <c r="BJ46" s="215"/>
      <c r="BK46" s="215"/>
      <c r="BL46" s="215"/>
      <c r="BM46" s="215"/>
      <c r="BN46" s="215"/>
      <c r="BO46" s="215"/>
      <c r="BP46" s="215"/>
      <c r="BQ46" s="215"/>
      <c r="BR46" s="215"/>
      <c r="BS46" s="215"/>
      <c r="BT46" s="215"/>
      <c r="BU46" s="215"/>
      <c r="BV46" s="215"/>
      <c r="BW46" s="215"/>
      <c r="BX46" s="215"/>
      <c r="BY46" s="215"/>
      <c r="BZ46" s="215"/>
      <c r="CA46" s="215"/>
      <c r="CB46" s="215"/>
      <c r="CC46" s="215"/>
      <c r="CD46" s="215"/>
      <c r="CE46" s="215"/>
      <c r="CF46" s="215"/>
    </row>
    <row r="47" spans="1:84" ht="16.5" outlineLevel="3">
      <c r="A47" s="164"/>
      <c r="B47" s="164"/>
      <c r="C47" s="164">
        <v>4</v>
      </c>
      <c r="D47" s="165" t="s">
        <v>1119</v>
      </c>
      <c r="E47" s="166"/>
      <c r="F47" s="166"/>
      <c r="G47" s="166"/>
      <c r="H47" s="166" t="s">
        <v>777</v>
      </c>
      <c r="I47" s="166"/>
      <c r="J47" s="166"/>
      <c r="K47" s="166"/>
      <c r="L47" s="166"/>
      <c r="M47" s="167">
        <v>45272</v>
      </c>
      <c r="N47" s="167">
        <v>45273</v>
      </c>
      <c r="O47" s="166"/>
      <c r="P47" s="168">
        <v>2</v>
      </c>
      <c r="Q47" s="168">
        <v>0</v>
      </c>
      <c r="R47" s="169">
        <v>2</v>
      </c>
      <c r="S47" s="169">
        <v>0</v>
      </c>
      <c r="T47" s="167"/>
      <c r="U47" s="167"/>
      <c r="V47" s="170"/>
      <c r="W47" s="171">
        <v>0</v>
      </c>
      <c r="X47" s="172">
        <v>1</v>
      </c>
      <c r="Y47" s="166"/>
      <c r="Z47" s="173"/>
      <c r="AA47" s="176">
        <v>0</v>
      </c>
      <c r="AB47" s="176">
        <v>0</v>
      </c>
      <c r="AC47" s="214"/>
      <c r="AD47" s="215"/>
      <c r="AE47" s="215"/>
      <c r="AF47" s="215"/>
      <c r="AG47" s="215"/>
      <c r="AH47" s="215" t="str">
        <f>"  " &amp; TEXT(AB47,"#0.00%") &amp; " " &amp; "시스템테스트실시" &amp; " " &amp; IF(M47="","",TEXT(M47,"M/D-")) &amp; IF(N47="","",TEXT(N47,"M/D")) &amp; " "</f>
        <v xml:space="preserve">  0.00% 시스템테스트실시 12/12-12/13 </v>
      </c>
      <c r="AI47" s="215"/>
      <c r="AJ47" s="215"/>
      <c r="AK47" s="215"/>
      <c r="AL47" s="215"/>
      <c r="AM47" s="215"/>
      <c r="AN47" s="215"/>
      <c r="AO47" s="215"/>
      <c r="AP47" s="215"/>
      <c r="AQ47" s="215"/>
      <c r="AR47" s="215"/>
      <c r="AS47" s="215"/>
      <c r="AT47" s="215"/>
      <c r="AU47" s="215"/>
      <c r="AV47" s="215"/>
      <c r="AW47" s="215"/>
      <c r="AX47" s="215"/>
      <c r="AY47" s="215"/>
      <c r="AZ47" s="215"/>
      <c r="BA47" s="215"/>
      <c r="BB47" s="215"/>
      <c r="BC47" s="215"/>
      <c r="BD47" s="215"/>
      <c r="BE47" s="215"/>
      <c r="BF47" s="215"/>
      <c r="BG47" s="215"/>
      <c r="BH47" s="215"/>
      <c r="BI47" s="215"/>
      <c r="BJ47" s="215"/>
      <c r="BK47" s="215"/>
      <c r="BL47" s="215"/>
      <c r="BM47" s="215"/>
      <c r="BN47" s="215"/>
      <c r="BO47" s="215"/>
      <c r="BP47" s="215"/>
      <c r="BQ47" s="215"/>
      <c r="BR47" s="215"/>
      <c r="BS47" s="215"/>
      <c r="BT47" s="215"/>
      <c r="BU47" s="215"/>
      <c r="BV47" s="215"/>
      <c r="BW47" s="215"/>
      <c r="BX47" s="215"/>
      <c r="BY47" s="215"/>
      <c r="BZ47" s="215"/>
      <c r="CA47" s="215"/>
      <c r="CB47" s="215"/>
      <c r="CC47" s="215"/>
      <c r="CD47" s="215"/>
      <c r="CE47" s="215"/>
      <c r="CF47" s="215"/>
    </row>
    <row r="48" spans="1:84" ht="16.5" outlineLevel="3">
      <c r="A48" s="164"/>
      <c r="B48" s="164"/>
      <c r="C48" s="164">
        <v>4</v>
      </c>
      <c r="D48" s="165" t="s">
        <v>1055</v>
      </c>
      <c r="E48" s="166"/>
      <c r="F48" s="166"/>
      <c r="G48" s="166"/>
      <c r="H48" s="166" t="s">
        <v>1041</v>
      </c>
      <c r="I48" s="166"/>
      <c r="J48" s="166"/>
      <c r="K48" s="166"/>
      <c r="L48" s="166"/>
      <c r="M48" s="167">
        <v>45273</v>
      </c>
      <c r="N48" s="167">
        <v>45276</v>
      </c>
      <c r="O48" s="166"/>
      <c r="P48" s="168">
        <v>3</v>
      </c>
      <c r="Q48" s="168">
        <v>0</v>
      </c>
      <c r="R48" s="169">
        <v>3</v>
      </c>
      <c r="S48" s="169">
        <v>0</v>
      </c>
      <c r="T48" s="167"/>
      <c r="U48" s="167"/>
      <c r="V48" s="170"/>
      <c r="W48" s="171">
        <v>0</v>
      </c>
      <c r="X48" s="172">
        <v>1</v>
      </c>
      <c r="Y48" s="166"/>
      <c r="Z48" s="173"/>
      <c r="AA48" s="176">
        <v>0</v>
      </c>
      <c r="AB48" s="176">
        <v>0</v>
      </c>
      <c r="AC48" s="214"/>
      <c r="AD48" s="215"/>
      <c r="AE48" s="215"/>
      <c r="AF48" s="215"/>
      <c r="AG48" s="215"/>
      <c r="AH48" s="215" t="str">
        <f>"   " &amp; TEXT(AB48,"#0.00%") &amp; " " &amp; "통합테스트실시" &amp; " " &amp; IF(M48="","",TEXT(M48,"M/D-")) &amp; IF(N48="","",TEXT(N48,"M/D")) &amp; " "</f>
        <v xml:space="preserve">   0.00% 통합테스트실시 12/13-12/16 </v>
      </c>
      <c r="AI48" s="215"/>
      <c r="AJ48" s="215"/>
      <c r="AK48" s="215"/>
      <c r="AL48" s="215"/>
      <c r="AM48" s="215"/>
      <c r="AN48" s="215"/>
      <c r="AO48" s="215"/>
      <c r="AP48" s="215"/>
      <c r="AQ48" s="215"/>
      <c r="AR48" s="215"/>
      <c r="AS48" s="215"/>
      <c r="AT48" s="215"/>
      <c r="AU48" s="215"/>
      <c r="AV48" s="215"/>
      <c r="AW48" s="215"/>
      <c r="AX48" s="215"/>
      <c r="AY48" s="215"/>
      <c r="AZ48" s="215"/>
      <c r="BA48" s="215"/>
      <c r="BB48" s="215"/>
      <c r="BC48" s="215"/>
      <c r="BD48" s="215"/>
      <c r="BE48" s="215"/>
      <c r="BF48" s="215"/>
      <c r="BG48" s="215"/>
      <c r="BH48" s="215"/>
      <c r="BI48" s="215"/>
      <c r="BJ48" s="215"/>
      <c r="BK48" s="215"/>
      <c r="BL48" s="215"/>
      <c r="BM48" s="215"/>
      <c r="BN48" s="215"/>
      <c r="BO48" s="215"/>
      <c r="BP48" s="215"/>
      <c r="BQ48" s="215"/>
      <c r="BR48" s="215"/>
      <c r="BS48" s="215"/>
      <c r="BT48" s="215"/>
      <c r="BU48" s="215"/>
      <c r="BV48" s="215"/>
      <c r="BW48" s="215"/>
      <c r="BX48" s="215"/>
      <c r="BY48" s="215"/>
      <c r="BZ48" s="215"/>
      <c r="CA48" s="215"/>
      <c r="CB48" s="215"/>
      <c r="CC48" s="215"/>
      <c r="CD48" s="215"/>
      <c r="CE48" s="215"/>
      <c r="CF48" s="215"/>
    </row>
    <row r="49" spans="1:84" ht="16.5" outlineLevel="1">
      <c r="A49" s="164"/>
      <c r="B49" s="164" t="s">
        <v>549</v>
      </c>
      <c r="C49" s="164">
        <v>2</v>
      </c>
      <c r="D49" s="165" t="s">
        <v>596</v>
      </c>
      <c r="E49" s="166"/>
      <c r="F49" s="166" t="s">
        <v>528</v>
      </c>
      <c r="G49" s="166"/>
      <c r="H49" s="166"/>
      <c r="I49" s="166"/>
      <c r="J49" s="166"/>
      <c r="K49" s="166"/>
      <c r="L49" s="166"/>
      <c r="M49" s="167"/>
      <c r="N49" s="167"/>
      <c r="O49" s="166"/>
      <c r="P49" s="168">
        <v>0</v>
      </c>
      <c r="Q49" s="168">
        <v>0</v>
      </c>
      <c r="R49" s="169">
        <v>6</v>
      </c>
      <c r="S49" s="169">
        <v>6</v>
      </c>
      <c r="T49" s="167"/>
      <c r="U49" s="167"/>
      <c r="V49" s="170">
        <v>0</v>
      </c>
      <c r="W49" s="171">
        <v>0</v>
      </c>
      <c r="X49" s="172"/>
      <c r="Y49" s="166"/>
      <c r="Z49" s="173"/>
      <c r="AA49" s="176">
        <v>0</v>
      </c>
      <c r="AB49" s="176">
        <v>0</v>
      </c>
      <c r="AC49" s="214"/>
      <c r="AD49" s="215"/>
      <c r="AE49" s="215"/>
      <c r="AF49" s="215"/>
      <c r="AG49" s="215"/>
      <c r="AH49" s="215"/>
      <c r="AI49" s="215"/>
      <c r="AJ49" s="215"/>
      <c r="AK49" s="215"/>
      <c r="AL49" s="215"/>
      <c r="AM49" s="215"/>
      <c r="AN49" s="215"/>
      <c r="AO49" s="215"/>
      <c r="AP49" s="215"/>
      <c r="AQ49" s="215"/>
      <c r="AR49" s="215"/>
      <c r="AS49" s="215"/>
      <c r="AT49" s="215"/>
      <c r="AU49" s="215"/>
      <c r="AV49" s="215"/>
      <c r="AW49" s="215"/>
      <c r="AX49" s="215"/>
      <c r="AY49" s="215"/>
      <c r="AZ49" s="215"/>
      <c r="BA49" s="215"/>
      <c r="BB49" s="215"/>
      <c r="BC49" s="215"/>
      <c r="BD49" s="215"/>
      <c r="BE49" s="215"/>
      <c r="BF49" s="215"/>
      <c r="BG49" s="215"/>
      <c r="BH49" s="215"/>
      <c r="BI49" s="215"/>
      <c r="BJ49" s="215"/>
      <c r="BK49" s="215"/>
      <c r="BL49" s="215"/>
      <c r="BM49" s="215"/>
      <c r="BN49" s="215"/>
      <c r="BO49" s="215"/>
      <c r="BP49" s="215"/>
      <c r="BQ49" s="215"/>
      <c r="BR49" s="215"/>
      <c r="BS49" s="215"/>
      <c r="BT49" s="215"/>
      <c r="BU49" s="215"/>
      <c r="BV49" s="215"/>
      <c r="BW49" s="215"/>
      <c r="BX49" s="215"/>
      <c r="BY49" s="215"/>
      <c r="BZ49" s="215"/>
      <c r="CA49" s="215"/>
      <c r="CB49" s="215"/>
      <c r="CC49" s="215"/>
      <c r="CD49" s="215"/>
      <c r="CE49" s="215"/>
      <c r="CF49" s="215"/>
    </row>
    <row r="50" spans="1:84" ht="16.5" outlineLevel="2">
      <c r="A50" s="164"/>
      <c r="B50" s="164" t="s">
        <v>549</v>
      </c>
      <c r="C50" s="164">
        <v>3</v>
      </c>
      <c r="D50" s="165" t="s">
        <v>1070</v>
      </c>
      <c r="E50" s="166"/>
      <c r="F50" s="166"/>
      <c r="G50" s="166" t="s">
        <v>1072</v>
      </c>
      <c r="H50" s="166"/>
      <c r="I50" s="166"/>
      <c r="J50" s="166"/>
      <c r="K50" s="166"/>
      <c r="L50" s="166"/>
      <c r="M50" s="167"/>
      <c r="N50" s="167"/>
      <c r="O50" s="166"/>
      <c r="P50" s="168">
        <v>0</v>
      </c>
      <c r="Q50" s="168">
        <v>0</v>
      </c>
      <c r="R50" s="169">
        <v>3</v>
      </c>
      <c r="S50" s="169">
        <v>3</v>
      </c>
      <c r="T50" s="167"/>
      <c r="U50" s="167"/>
      <c r="V50" s="170">
        <v>0</v>
      </c>
      <c r="W50" s="171">
        <v>0</v>
      </c>
      <c r="X50" s="172"/>
      <c r="Y50" s="166"/>
      <c r="Z50" s="173"/>
      <c r="AA50" s="176">
        <v>0</v>
      </c>
      <c r="AB50" s="176">
        <v>0</v>
      </c>
      <c r="AC50" s="214"/>
      <c r="AD50" s="215"/>
      <c r="AE50" s="215"/>
      <c r="AF50" s="215"/>
      <c r="AG50" s="215"/>
      <c r="AH50" s="215"/>
      <c r="AI50" s="215"/>
      <c r="AJ50" s="215"/>
      <c r="AK50" s="215"/>
      <c r="AL50" s="215"/>
      <c r="AM50" s="215"/>
      <c r="AN50" s="215"/>
      <c r="AO50" s="215"/>
      <c r="AP50" s="215"/>
      <c r="AQ50" s="215"/>
      <c r="AR50" s="215"/>
      <c r="AS50" s="215"/>
      <c r="AT50" s="215"/>
      <c r="AU50" s="215"/>
      <c r="AV50" s="215"/>
      <c r="AW50" s="215"/>
      <c r="AX50" s="215"/>
      <c r="AY50" s="215"/>
      <c r="AZ50" s="215"/>
      <c r="BA50" s="215"/>
      <c r="BB50" s="215"/>
      <c r="BC50" s="215"/>
      <c r="BD50" s="215"/>
      <c r="BE50" s="215"/>
      <c r="BF50" s="215"/>
      <c r="BG50" s="215"/>
      <c r="BH50" s="215"/>
      <c r="BI50" s="215"/>
      <c r="BJ50" s="215"/>
      <c r="BK50" s="215"/>
      <c r="BL50" s="215"/>
      <c r="BM50" s="215"/>
      <c r="BN50" s="215"/>
      <c r="BO50" s="215"/>
      <c r="BP50" s="215"/>
      <c r="BQ50" s="215"/>
      <c r="BR50" s="215"/>
      <c r="BS50" s="215"/>
      <c r="BT50" s="215"/>
      <c r="BU50" s="215"/>
      <c r="BV50" s="215"/>
      <c r="BW50" s="215"/>
      <c r="BX50" s="215"/>
      <c r="BY50" s="215"/>
      <c r="BZ50" s="215"/>
      <c r="CA50" s="215"/>
      <c r="CB50" s="215"/>
      <c r="CC50" s="215"/>
      <c r="CD50" s="215"/>
      <c r="CE50" s="215"/>
      <c r="CF50" s="215"/>
    </row>
    <row r="51" spans="1:84" ht="16.5" outlineLevel="3">
      <c r="A51" s="164"/>
      <c r="B51" s="164"/>
      <c r="C51" s="164">
        <v>4</v>
      </c>
      <c r="D51" s="165" t="s">
        <v>1122</v>
      </c>
      <c r="E51" s="166"/>
      <c r="F51" s="166"/>
      <c r="G51" s="166"/>
      <c r="H51" s="166" t="s">
        <v>1206</v>
      </c>
      <c r="I51" s="166"/>
      <c r="J51" s="166"/>
      <c r="K51" s="166"/>
      <c r="L51" s="166"/>
      <c r="M51" s="167"/>
      <c r="N51" s="167"/>
      <c r="O51" s="166"/>
      <c r="P51" s="168">
        <v>0</v>
      </c>
      <c r="Q51" s="168">
        <v>0</v>
      </c>
      <c r="R51" s="169">
        <v>3</v>
      </c>
      <c r="S51" s="169">
        <v>3</v>
      </c>
      <c r="T51" s="167"/>
      <c r="U51" s="167"/>
      <c r="V51" s="170">
        <v>0</v>
      </c>
      <c r="W51" s="171">
        <v>0</v>
      </c>
      <c r="X51" s="172">
        <v>1</v>
      </c>
      <c r="Y51" s="166"/>
      <c r="Z51" s="173"/>
      <c r="AA51" s="176">
        <v>0</v>
      </c>
      <c r="AB51" s="176">
        <v>0</v>
      </c>
      <c r="AC51" s="214"/>
      <c r="AD51" s="215"/>
      <c r="AE51" s="215"/>
      <c r="AF51" s="215"/>
      <c r="AG51" s="215"/>
      <c r="AH51" s="215"/>
      <c r="AI51" s="215"/>
      <c r="AJ51" s="215"/>
      <c r="AK51" s="215"/>
      <c r="AL51" s="215"/>
      <c r="AM51" s="215"/>
      <c r="AN51" s="215"/>
      <c r="AO51" s="215"/>
      <c r="AP51" s="215"/>
      <c r="AQ51" s="215"/>
      <c r="AR51" s="215"/>
      <c r="AS51" s="215"/>
      <c r="AT51" s="215"/>
      <c r="AU51" s="215"/>
      <c r="AV51" s="215"/>
      <c r="AW51" s="215"/>
      <c r="AX51" s="215"/>
      <c r="AY51" s="215"/>
      <c r="AZ51" s="215"/>
      <c r="BA51" s="215"/>
      <c r="BB51" s="215"/>
      <c r="BC51" s="215"/>
      <c r="BD51" s="215"/>
      <c r="BE51" s="215"/>
      <c r="BF51" s="215"/>
      <c r="BG51" s="215"/>
      <c r="BH51" s="215"/>
      <c r="BI51" s="215"/>
      <c r="BJ51" s="215"/>
      <c r="BK51" s="215"/>
      <c r="BL51" s="215"/>
      <c r="BM51" s="215"/>
      <c r="BN51" s="215"/>
      <c r="BO51" s="215"/>
      <c r="BP51" s="215"/>
      <c r="BQ51" s="215"/>
      <c r="BR51" s="215"/>
      <c r="BS51" s="215"/>
      <c r="BT51" s="215"/>
      <c r="BU51" s="215"/>
      <c r="BV51" s="215"/>
      <c r="BW51" s="215"/>
      <c r="BX51" s="215"/>
      <c r="BY51" s="215"/>
      <c r="BZ51" s="215"/>
      <c r="CA51" s="215"/>
      <c r="CB51" s="215"/>
      <c r="CC51" s="215"/>
      <c r="CD51" s="215"/>
      <c r="CE51" s="215"/>
      <c r="CF51" s="215"/>
    </row>
    <row r="52" spans="1:84" ht="16.5" outlineLevel="2">
      <c r="A52" s="164"/>
      <c r="B52" s="164" t="s">
        <v>549</v>
      </c>
      <c r="C52" s="164">
        <v>3</v>
      </c>
      <c r="D52" s="165" t="s">
        <v>1056</v>
      </c>
      <c r="E52" s="166"/>
      <c r="F52" s="166"/>
      <c r="G52" s="166" t="s">
        <v>873</v>
      </c>
      <c r="H52" s="166"/>
      <c r="I52" s="166"/>
      <c r="J52" s="166"/>
      <c r="K52" s="166"/>
      <c r="L52" s="166"/>
      <c r="M52" s="167"/>
      <c r="N52" s="167"/>
      <c r="O52" s="166"/>
      <c r="P52" s="168">
        <v>0</v>
      </c>
      <c r="Q52" s="168">
        <v>0</v>
      </c>
      <c r="R52" s="169">
        <v>3</v>
      </c>
      <c r="S52" s="169">
        <v>3</v>
      </c>
      <c r="T52" s="167"/>
      <c r="U52" s="167"/>
      <c r="V52" s="170">
        <v>0</v>
      </c>
      <c r="W52" s="171">
        <v>0</v>
      </c>
      <c r="X52" s="172"/>
      <c r="Y52" s="166"/>
      <c r="Z52" s="173"/>
      <c r="AA52" s="176">
        <v>0</v>
      </c>
      <c r="AB52" s="176">
        <v>0</v>
      </c>
      <c r="AC52" s="214"/>
      <c r="AD52" s="215"/>
      <c r="AE52" s="215"/>
      <c r="AF52" s="215"/>
      <c r="AG52" s="215"/>
      <c r="AH52" s="215"/>
      <c r="AI52" s="215"/>
      <c r="AJ52" s="215"/>
      <c r="AK52" s="215"/>
      <c r="AL52" s="215"/>
      <c r="AM52" s="215"/>
      <c r="AN52" s="215"/>
      <c r="AO52" s="215"/>
      <c r="AP52" s="215"/>
      <c r="AQ52" s="215"/>
      <c r="AR52" s="215"/>
      <c r="AS52" s="215"/>
      <c r="AT52" s="215"/>
      <c r="AU52" s="215"/>
      <c r="AV52" s="215"/>
      <c r="AW52" s="215"/>
      <c r="AX52" s="215"/>
      <c r="AY52" s="215"/>
      <c r="AZ52" s="215"/>
      <c r="BA52" s="215"/>
      <c r="BB52" s="215"/>
      <c r="BC52" s="215"/>
      <c r="BD52" s="215"/>
      <c r="BE52" s="215"/>
      <c r="BF52" s="215"/>
      <c r="BG52" s="215"/>
      <c r="BH52" s="215"/>
      <c r="BI52" s="215"/>
      <c r="BJ52" s="215"/>
      <c r="BK52" s="215"/>
      <c r="BL52" s="215"/>
      <c r="BM52" s="215"/>
      <c r="BN52" s="215"/>
      <c r="BO52" s="215"/>
      <c r="BP52" s="215"/>
      <c r="BQ52" s="215"/>
      <c r="BR52" s="215"/>
      <c r="BS52" s="215"/>
      <c r="BT52" s="215"/>
      <c r="BU52" s="215"/>
      <c r="BV52" s="215"/>
      <c r="BW52" s="215"/>
      <c r="BX52" s="215"/>
      <c r="BY52" s="215"/>
      <c r="BZ52" s="215"/>
      <c r="CA52" s="215"/>
      <c r="CB52" s="215"/>
      <c r="CC52" s="215"/>
      <c r="CD52" s="215"/>
      <c r="CE52" s="215"/>
      <c r="CF52" s="215"/>
    </row>
    <row r="53" spans="1:84" ht="16.5" outlineLevel="3">
      <c r="A53" s="164"/>
      <c r="B53" s="164"/>
      <c r="C53" s="164">
        <v>4</v>
      </c>
      <c r="D53" s="165" t="s">
        <v>1112</v>
      </c>
      <c r="E53" s="166"/>
      <c r="F53" s="166"/>
      <c r="G53" s="166"/>
      <c r="H53" s="166" t="s">
        <v>779</v>
      </c>
      <c r="I53" s="166"/>
      <c r="J53" s="166"/>
      <c r="K53" s="166"/>
      <c r="L53" s="166"/>
      <c r="M53" s="167"/>
      <c r="N53" s="167"/>
      <c r="O53" s="166"/>
      <c r="P53" s="168">
        <v>0</v>
      </c>
      <c r="Q53" s="168">
        <v>0</v>
      </c>
      <c r="R53" s="169">
        <v>2</v>
      </c>
      <c r="S53" s="169">
        <v>2</v>
      </c>
      <c r="T53" s="167"/>
      <c r="U53" s="167"/>
      <c r="V53" s="170">
        <v>0</v>
      </c>
      <c r="W53" s="171">
        <v>0</v>
      </c>
      <c r="X53" s="172">
        <v>1</v>
      </c>
      <c r="Y53" s="166"/>
      <c r="Z53" s="173"/>
      <c r="AA53" s="176">
        <v>0</v>
      </c>
      <c r="AB53" s="176">
        <v>0</v>
      </c>
      <c r="AC53" s="214"/>
      <c r="AD53" s="215"/>
      <c r="AE53" s="215"/>
      <c r="AF53" s="215"/>
      <c r="AG53" s="215"/>
      <c r="AH53" s="215"/>
      <c r="AI53" s="215"/>
      <c r="AJ53" s="215"/>
      <c r="AK53" s="215"/>
      <c r="AL53" s="215"/>
      <c r="AM53" s="215"/>
      <c r="AN53" s="215"/>
      <c r="AO53" s="215"/>
      <c r="AP53" s="215"/>
      <c r="AQ53" s="215"/>
      <c r="AR53" s="215"/>
      <c r="AS53" s="215"/>
      <c r="AT53" s="215"/>
      <c r="AU53" s="215"/>
      <c r="AV53" s="215"/>
      <c r="AW53" s="215"/>
      <c r="AX53" s="215"/>
      <c r="AY53" s="215"/>
      <c r="AZ53" s="215"/>
      <c r="BA53" s="215"/>
      <c r="BB53" s="215"/>
      <c r="BC53" s="215"/>
      <c r="BD53" s="215"/>
      <c r="BE53" s="215"/>
      <c r="BF53" s="215"/>
      <c r="BG53" s="215"/>
      <c r="BH53" s="215"/>
      <c r="BI53" s="215"/>
      <c r="BJ53" s="215"/>
      <c r="BK53" s="215"/>
      <c r="BL53" s="215"/>
      <c r="BM53" s="215"/>
      <c r="BN53" s="215"/>
      <c r="BO53" s="215"/>
      <c r="BP53" s="215"/>
      <c r="BQ53" s="215"/>
      <c r="BR53" s="215"/>
      <c r="BS53" s="215"/>
      <c r="BT53" s="215"/>
      <c r="BU53" s="215"/>
      <c r="BV53" s="215"/>
      <c r="BW53" s="215"/>
      <c r="BX53" s="215"/>
      <c r="BY53" s="215"/>
      <c r="BZ53" s="215"/>
      <c r="CA53" s="215"/>
      <c r="CB53" s="215"/>
      <c r="CC53" s="215"/>
      <c r="CD53" s="215"/>
      <c r="CE53" s="215"/>
      <c r="CF53" s="215"/>
    </row>
    <row r="54" spans="1:84" ht="16.5" outlineLevel="3">
      <c r="A54" s="164"/>
      <c r="B54" s="164"/>
      <c r="C54" s="164">
        <v>4</v>
      </c>
      <c r="D54" s="165" t="s">
        <v>1097</v>
      </c>
      <c r="E54" s="166"/>
      <c r="F54" s="166"/>
      <c r="G54" s="166"/>
      <c r="H54" s="166" t="s">
        <v>1077</v>
      </c>
      <c r="I54" s="166"/>
      <c r="J54" s="166"/>
      <c r="K54" s="166"/>
      <c r="L54" s="166"/>
      <c r="M54" s="167"/>
      <c r="N54" s="167"/>
      <c r="O54" s="166"/>
      <c r="P54" s="168">
        <v>0</v>
      </c>
      <c r="Q54" s="168">
        <v>0</v>
      </c>
      <c r="R54" s="169">
        <v>2</v>
      </c>
      <c r="S54" s="169">
        <v>2</v>
      </c>
      <c r="T54" s="167"/>
      <c r="U54" s="167"/>
      <c r="V54" s="170">
        <v>0</v>
      </c>
      <c r="W54" s="171">
        <v>0</v>
      </c>
      <c r="X54" s="172">
        <v>1</v>
      </c>
      <c r="Y54" s="166"/>
      <c r="Z54" s="173"/>
      <c r="AA54" s="176">
        <v>0</v>
      </c>
      <c r="AB54" s="176">
        <v>0</v>
      </c>
      <c r="AC54" s="214"/>
      <c r="AD54" s="215"/>
      <c r="AE54" s="215"/>
      <c r="AF54" s="215"/>
      <c r="AG54" s="215"/>
      <c r="AH54" s="215"/>
      <c r="AI54" s="215"/>
      <c r="AJ54" s="215"/>
      <c r="AK54" s="215"/>
      <c r="AL54" s="215"/>
      <c r="AM54" s="215"/>
      <c r="AN54" s="215"/>
      <c r="AO54" s="215"/>
      <c r="AP54" s="215"/>
      <c r="AQ54" s="215"/>
      <c r="AR54" s="215"/>
      <c r="AS54" s="215"/>
      <c r="AT54" s="215"/>
      <c r="AU54" s="215"/>
      <c r="AV54" s="215"/>
      <c r="AW54" s="215"/>
      <c r="AX54" s="215"/>
      <c r="AY54" s="215"/>
      <c r="AZ54" s="215"/>
      <c r="BA54" s="215"/>
      <c r="BB54" s="215"/>
      <c r="BC54" s="215"/>
      <c r="BD54" s="215"/>
      <c r="BE54" s="215"/>
      <c r="BF54" s="215"/>
      <c r="BG54" s="215"/>
      <c r="BH54" s="215"/>
      <c r="BI54" s="215"/>
      <c r="BJ54" s="215"/>
      <c r="BK54" s="215"/>
      <c r="BL54" s="215"/>
      <c r="BM54" s="215"/>
      <c r="BN54" s="215"/>
      <c r="BO54" s="215"/>
      <c r="BP54" s="215"/>
      <c r="BQ54" s="215"/>
      <c r="BR54" s="215"/>
      <c r="BS54" s="215"/>
      <c r="BT54" s="215"/>
      <c r="BU54" s="215"/>
      <c r="BV54" s="215"/>
      <c r="BW54" s="215"/>
      <c r="BX54" s="215"/>
      <c r="BY54" s="215"/>
      <c r="BZ54" s="215"/>
      <c r="CA54" s="215"/>
      <c r="CB54" s="215"/>
      <c r="CC54" s="215"/>
      <c r="CD54" s="215"/>
      <c r="CE54" s="215"/>
      <c r="CF54" s="215"/>
    </row>
    <row r="55" spans="1:84" ht="16.5" outlineLevel="3">
      <c r="A55" s="164"/>
      <c r="B55" s="164"/>
      <c r="C55" s="164">
        <v>4</v>
      </c>
      <c r="D55" s="165" t="s">
        <v>1044</v>
      </c>
      <c r="E55" s="166"/>
      <c r="F55" s="166"/>
      <c r="G55" s="166"/>
      <c r="H55" s="166" t="s">
        <v>1075</v>
      </c>
      <c r="I55" s="166"/>
      <c r="J55" s="166"/>
      <c r="K55" s="166"/>
      <c r="L55" s="166"/>
      <c r="M55" s="167"/>
      <c r="N55" s="167"/>
      <c r="O55" s="166"/>
      <c r="P55" s="168">
        <v>0</v>
      </c>
      <c r="Q55" s="168">
        <v>0</v>
      </c>
      <c r="R55" s="169">
        <v>2</v>
      </c>
      <c r="S55" s="169">
        <v>2</v>
      </c>
      <c r="T55" s="167"/>
      <c r="U55" s="167"/>
      <c r="V55" s="170">
        <v>0</v>
      </c>
      <c r="W55" s="171">
        <v>0</v>
      </c>
      <c r="X55" s="172">
        <v>1</v>
      </c>
      <c r="Y55" s="166"/>
      <c r="Z55" s="173"/>
      <c r="AA55" s="176">
        <v>0</v>
      </c>
      <c r="AB55" s="176">
        <v>0</v>
      </c>
      <c r="AC55" s="214"/>
      <c r="AD55" s="215"/>
      <c r="AE55" s="215"/>
      <c r="AF55" s="215"/>
      <c r="AG55" s="215"/>
      <c r="AH55" s="215"/>
      <c r="AI55" s="215"/>
      <c r="AJ55" s="215"/>
      <c r="AK55" s="215"/>
      <c r="AL55" s="215"/>
      <c r="AM55" s="215"/>
      <c r="AN55" s="215"/>
      <c r="AO55" s="215"/>
      <c r="AP55" s="215"/>
      <c r="AQ55" s="215"/>
      <c r="AR55" s="215"/>
      <c r="AS55" s="215"/>
      <c r="AT55" s="215"/>
      <c r="AU55" s="215"/>
      <c r="AV55" s="215"/>
      <c r="AW55" s="215"/>
      <c r="AX55" s="215"/>
      <c r="AY55" s="215"/>
      <c r="AZ55" s="215"/>
      <c r="BA55" s="215"/>
      <c r="BB55" s="215"/>
      <c r="BC55" s="215"/>
      <c r="BD55" s="215"/>
      <c r="BE55" s="215"/>
      <c r="BF55" s="215"/>
      <c r="BG55" s="215"/>
      <c r="BH55" s="215"/>
      <c r="BI55" s="215"/>
      <c r="BJ55" s="215"/>
      <c r="BK55" s="215"/>
      <c r="BL55" s="215"/>
      <c r="BM55" s="215"/>
      <c r="BN55" s="215"/>
      <c r="BO55" s="215"/>
      <c r="BP55" s="215"/>
      <c r="BQ55" s="215"/>
      <c r="BR55" s="215"/>
      <c r="BS55" s="215"/>
      <c r="BT55" s="215"/>
      <c r="BU55" s="215"/>
      <c r="BV55" s="215"/>
      <c r="BW55" s="215"/>
      <c r="BX55" s="215"/>
      <c r="BY55" s="215"/>
      <c r="BZ55" s="215"/>
      <c r="CA55" s="215"/>
      <c r="CB55" s="215"/>
      <c r="CC55" s="215"/>
      <c r="CD55" s="215"/>
      <c r="CE55" s="215"/>
      <c r="CF55" s="215"/>
    </row>
    <row r="56" spans="1:84" ht="16.5" outlineLevel="3">
      <c r="A56" s="164"/>
      <c r="B56" s="164"/>
      <c r="C56" s="164">
        <v>4</v>
      </c>
      <c r="D56" s="165" t="s">
        <v>1040</v>
      </c>
      <c r="E56" s="166"/>
      <c r="F56" s="166"/>
      <c r="G56" s="166"/>
      <c r="H56" s="166" t="s">
        <v>1093</v>
      </c>
      <c r="I56" s="166"/>
      <c r="J56" s="166"/>
      <c r="K56" s="166"/>
      <c r="L56" s="166"/>
      <c r="M56" s="167"/>
      <c r="N56" s="167"/>
      <c r="O56" s="166"/>
      <c r="P56" s="168">
        <v>0</v>
      </c>
      <c r="Q56" s="168">
        <v>0</v>
      </c>
      <c r="R56" s="169">
        <v>1</v>
      </c>
      <c r="S56" s="169">
        <v>1</v>
      </c>
      <c r="T56" s="167"/>
      <c r="U56" s="167"/>
      <c r="V56" s="170">
        <v>0</v>
      </c>
      <c r="W56" s="171">
        <v>0</v>
      </c>
      <c r="X56" s="172">
        <v>1</v>
      </c>
      <c r="Y56" s="166"/>
      <c r="Z56" s="173"/>
      <c r="AA56" s="176">
        <v>0</v>
      </c>
      <c r="AB56" s="176">
        <v>0</v>
      </c>
      <c r="AC56" s="214"/>
      <c r="AD56" s="215"/>
      <c r="AE56" s="215"/>
      <c r="AF56" s="215"/>
      <c r="AG56" s="215"/>
      <c r="AH56" s="215"/>
      <c r="AI56" s="215"/>
      <c r="AJ56" s="215"/>
      <c r="AK56" s="215"/>
      <c r="AL56" s="215"/>
      <c r="AM56" s="215"/>
      <c r="AN56" s="215"/>
      <c r="AO56" s="215"/>
      <c r="AP56" s="215"/>
      <c r="AQ56" s="215"/>
      <c r="AR56" s="215"/>
      <c r="AS56" s="215"/>
      <c r="AT56" s="215"/>
      <c r="AU56" s="215"/>
      <c r="AV56" s="215"/>
      <c r="AW56" s="215"/>
      <c r="AX56" s="215"/>
      <c r="AY56" s="215"/>
      <c r="AZ56" s="215"/>
      <c r="BA56" s="215"/>
      <c r="BB56" s="215"/>
      <c r="BC56" s="215"/>
      <c r="BD56" s="215"/>
      <c r="BE56" s="215"/>
      <c r="BF56" s="215"/>
      <c r="BG56" s="215"/>
      <c r="BH56" s="215"/>
      <c r="BI56" s="215"/>
      <c r="BJ56" s="215"/>
      <c r="BK56" s="215"/>
      <c r="BL56" s="215"/>
      <c r="BM56" s="215"/>
      <c r="BN56" s="215"/>
      <c r="BO56" s="215"/>
      <c r="BP56" s="215"/>
      <c r="BQ56" s="215"/>
      <c r="BR56" s="215"/>
      <c r="BS56" s="215"/>
      <c r="BT56" s="215"/>
      <c r="BU56" s="215"/>
      <c r="BV56" s="215"/>
      <c r="BW56" s="215"/>
      <c r="BX56" s="215"/>
      <c r="BY56" s="215"/>
      <c r="BZ56" s="215"/>
      <c r="CA56" s="215"/>
      <c r="CB56" s="215"/>
      <c r="CC56" s="215"/>
      <c r="CD56" s="215"/>
      <c r="CE56" s="215"/>
      <c r="CF56" s="215"/>
    </row>
    <row r="57" spans="1:84">
      <c r="A57" s="132"/>
      <c r="B57" s="132"/>
      <c r="C57" s="132"/>
      <c r="D57" s="146"/>
      <c r="E57" s="134"/>
      <c r="F57" s="134"/>
      <c r="G57" s="134"/>
      <c r="H57" s="134"/>
      <c r="I57" s="134"/>
      <c r="J57" s="134"/>
      <c r="K57" s="134"/>
      <c r="L57" s="134"/>
      <c r="M57" s="135"/>
      <c r="N57" s="135"/>
      <c r="O57" s="134"/>
      <c r="P57" s="136"/>
      <c r="Q57" s="136"/>
      <c r="R57" s="137"/>
      <c r="S57" s="137"/>
      <c r="T57" s="135"/>
      <c r="U57" s="135"/>
      <c r="V57" s="138"/>
      <c r="W57" s="139"/>
      <c r="X57" s="140"/>
      <c r="Y57" s="134"/>
      <c r="Z57" s="141"/>
      <c r="AA57" s="147"/>
      <c r="AB57" s="148"/>
      <c r="AC57" s="217"/>
      <c r="AD57" s="217"/>
      <c r="AE57" s="217"/>
      <c r="AF57" s="217"/>
      <c r="AG57" s="217"/>
      <c r="AH57" s="217"/>
      <c r="AI57" s="217"/>
      <c r="AJ57" s="217"/>
      <c r="AK57" s="217"/>
      <c r="AL57" s="217"/>
      <c r="AM57" s="217"/>
      <c r="AN57" s="217"/>
      <c r="AO57" s="217"/>
      <c r="AP57" s="217"/>
      <c r="AQ57" s="217"/>
      <c r="AR57" s="217"/>
      <c r="AS57" s="217"/>
      <c r="AT57" s="217"/>
      <c r="AU57" s="217"/>
      <c r="AV57" s="217"/>
      <c r="AW57" s="217"/>
      <c r="AX57" s="217"/>
      <c r="AY57" s="217"/>
      <c r="AZ57" s="217"/>
      <c r="BA57" s="217"/>
      <c r="BB57" s="217"/>
      <c r="BC57" s="217"/>
      <c r="BD57" s="217"/>
      <c r="BE57" s="217"/>
      <c r="BF57" s="217"/>
      <c r="BG57" s="217"/>
      <c r="BH57" s="217"/>
      <c r="BI57" s="217"/>
      <c r="BJ57" s="217"/>
      <c r="BK57" s="217"/>
      <c r="BL57" s="217"/>
      <c r="BM57" s="217"/>
      <c r="BN57" s="217"/>
      <c r="BO57" s="217"/>
      <c r="BP57" s="217"/>
      <c r="BQ57" s="217"/>
      <c r="BR57" s="217"/>
      <c r="BS57" s="217"/>
      <c r="BT57" s="217"/>
      <c r="BU57" s="217"/>
      <c r="BV57" s="217"/>
      <c r="BW57" s="217"/>
      <c r="BX57" s="217"/>
      <c r="BY57" s="217"/>
      <c r="BZ57" s="217"/>
      <c r="CA57" s="217"/>
      <c r="CB57" s="217"/>
      <c r="CC57" s="217"/>
      <c r="CD57" s="217"/>
      <c r="CE57" s="217"/>
      <c r="CF57" s="217"/>
    </row>
    <row r="58" spans="1:84">
      <c r="D58" s="1"/>
      <c r="AA58" s="77"/>
      <c r="AB58" s="145"/>
    </row>
    <row r="59" spans="1:84">
      <c r="D59" s="1"/>
      <c r="AA59" s="77"/>
      <c r="AB59" s="145"/>
    </row>
    <row r="60" spans="1:84">
      <c r="D60" s="1"/>
      <c r="AA60" s="77"/>
      <c r="AB60" s="145"/>
    </row>
    <row r="61" spans="1:84">
      <c r="D61" s="1"/>
      <c r="AA61" s="77"/>
      <c r="AB61" s="145"/>
    </row>
    <row r="62" spans="1:84">
      <c r="D62" s="1"/>
      <c r="AA62" s="77"/>
      <c r="AB62" s="145"/>
    </row>
    <row r="63" spans="1:84">
      <c r="D63" s="1"/>
      <c r="AA63" s="77"/>
      <c r="AB63" s="145"/>
    </row>
    <row r="64" spans="1:84">
      <c r="D64" s="1"/>
      <c r="AA64" s="77"/>
      <c r="AB64" s="145"/>
    </row>
    <row r="65" spans="4:28">
      <c r="D65" s="1"/>
      <c r="AA65" s="77"/>
      <c r="AB65" s="145"/>
    </row>
    <row r="66" spans="4:28">
      <c r="D66" s="1"/>
      <c r="AA66" s="77"/>
      <c r="AB66" s="145"/>
    </row>
    <row r="67" spans="4:28">
      <c r="D67" s="1"/>
      <c r="AA67" s="77"/>
      <c r="AB67" s="145"/>
    </row>
    <row r="68" spans="4:28">
      <c r="D68" s="1"/>
      <c r="AA68" s="77"/>
      <c r="AB68" s="145"/>
    </row>
    <row r="69" spans="4:28">
      <c r="D69" s="1"/>
      <c r="AA69" s="77"/>
      <c r="AB69" s="145"/>
    </row>
    <row r="70" spans="4:28">
      <c r="D70" s="1"/>
      <c r="AA70" s="77"/>
      <c r="AB70" s="145"/>
    </row>
    <row r="71" spans="4:28">
      <c r="D71" s="1"/>
      <c r="AA71" s="77"/>
      <c r="AB71" s="145"/>
    </row>
    <row r="72" spans="4:28">
      <c r="D72" s="1"/>
      <c r="AA72" s="77"/>
      <c r="AB72" s="145"/>
    </row>
    <row r="73" spans="4:28">
      <c r="D73" s="1"/>
      <c r="AA73" s="77"/>
      <c r="AB73" s="145"/>
    </row>
    <row r="74" spans="4:28">
      <c r="D74" s="1"/>
      <c r="AA74" s="77"/>
      <c r="AB74" s="145"/>
    </row>
    <row r="75" spans="4:28">
      <c r="D75" s="1"/>
      <c r="AA75" s="77"/>
      <c r="AB75" s="145"/>
    </row>
    <row r="76" spans="4:28">
      <c r="D76" s="1"/>
      <c r="AA76" s="77"/>
      <c r="AB76" s="145"/>
    </row>
    <row r="77" spans="4:28">
      <c r="D77" s="1"/>
      <c r="AA77" s="77"/>
      <c r="AB77" s="145"/>
    </row>
    <row r="78" spans="4:28">
      <c r="D78" s="1"/>
      <c r="AA78" s="77"/>
      <c r="AB78" s="145"/>
    </row>
    <row r="79" spans="4:28">
      <c r="D79" s="1"/>
      <c r="AA79" s="77"/>
      <c r="AB79" s="145"/>
    </row>
    <row r="80" spans="4:28">
      <c r="D80" s="1"/>
      <c r="AA80" s="77"/>
      <c r="AB80" s="145"/>
    </row>
    <row r="81" spans="4:28">
      <c r="D81" s="1"/>
      <c r="AA81" s="77"/>
      <c r="AB81" s="145"/>
    </row>
    <row r="82" spans="4:28">
      <c r="D82" s="1"/>
      <c r="AA82" s="77"/>
      <c r="AB82" s="145"/>
    </row>
    <row r="83" spans="4:28">
      <c r="D83" s="1"/>
      <c r="AA83" s="77"/>
      <c r="AB83" s="145"/>
    </row>
    <row r="84" spans="4:28">
      <c r="D84" s="1"/>
      <c r="AA84" s="77"/>
      <c r="AB84" s="145"/>
    </row>
    <row r="85" spans="4:28">
      <c r="D85" s="1"/>
      <c r="AA85" s="77"/>
      <c r="AB85" s="145"/>
    </row>
    <row r="86" spans="4:28">
      <c r="D86" s="1"/>
      <c r="AA86" s="77"/>
      <c r="AB86" s="145"/>
    </row>
    <row r="87" spans="4:28">
      <c r="D87" s="1"/>
      <c r="AA87" s="77"/>
      <c r="AB87" s="145"/>
    </row>
    <row r="88" spans="4:28">
      <c r="D88" s="1"/>
      <c r="AA88" s="77"/>
      <c r="AB88" s="145"/>
    </row>
    <row r="89" spans="4:28">
      <c r="AA89" s="77"/>
      <c r="AB89" s="145"/>
    </row>
    <row r="90" spans="4:28">
      <c r="D90" s="1"/>
      <c r="AA90" s="77"/>
      <c r="AB90" s="145"/>
    </row>
    <row r="91" spans="4:28">
      <c r="D91" s="1"/>
      <c r="AA91" s="77"/>
      <c r="AB91" s="145"/>
    </row>
    <row r="92" spans="4:28">
      <c r="D92" s="1"/>
      <c r="AA92" s="77"/>
      <c r="AB92" s="145"/>
    </row>
    <row r="93" spans="4:28">
      <c r="D93" s="1"/>
      <c r="AA93" s="77"/>
      <c r="AB93" s="145"/>
    </row>
    <row r="94" spans="4:28">
      <c r="D94" s="1"/>
      <c r="AA94" s="77"/>
      <c r="AB94" s="145"/>
    </row>
    <row r="95" spans="4:28">
      <c r="D95" s="1"/>
      <c r="AA95" s="77"/>
      <c r="AB95" s="145"/>
    </row>
    <row r="96" spans="4:28">
      <c r="D96" s="1"/>
      <c r="AA96" s="77"/>
      <c r="AB96" s="145"/>
    </row>
    <row r="97" spans="4:28">
      <c r="D97" s="1"/>
      <c r="AA97" s="77"/>
      <c r="AB97" s="145"/>
    </row>
    <row r="98" spans="4:28">
      <c r="D98" s="1"/>
      <c r="AA98" s="77"/>
      <c r="AB98" s="145"/>
    </row>
    <row r="99" spans="4:28">
      <c r="D99" s="1"/>
      <c r="AA99" s="77"/>
      <c r="AB99" s="145"/>
    </row>
    <row r="100" spans="4:28">
      <c r="D100" s="1"/>
      <c r="AA100" s="77"/>
      <c r="AB100" s="145"/>
    </row>
    <row r="101" spans="4:28">
      <c r="D101" s="1"/>
      <c r="AA101" s="77"/>
      <c r="AB101" s="145"/>
    </row>
    <row r="102" spans="4:28">
      <c r="D102" s="1"/>
      <c r="AA102" s="77"/>
      <c r="AB102" s="145"/>
    </row>
    <row r="103" spans="4:28">
      <c r="D103" s="1"/>
      <c r="AA103" s="77"/>
      <c r="AB103" s="145"/>
    </row>
    <row r="104" spans="4:28">
      <c r="D104" s="1"/>
      <c r="AA104" s="77"/>
      <c r="AB104" s="145"/>
    </row>
    <row r="105" spans="4:28">
      <c r="D105" s="1"/>
      <c r="AA105" s="77"/>
      <c r="AB105" s="145"/>
    </row>
    <row r="106" spans="4:28">
      <c r="D106" s="1"/>
      <c r="AA106" s="77"/>
      <c r="AB106" s="145"/>
    </row>
    <row r="107" spans="4:28">
      <c r="D107" s="1"/>
      <c r="AA107" s="77"/>
      <c r="AB107" s="145"/>
    </row>
    <row r="108" spans="4:28">
      <c r="D108" s="1"/>
      <c r="AA108" s="77"/>
      <c r="AB108" s="145"/>
    </row>
    <row r="109" spans="4:28">
      <c r="D109" s="1"/>
      <c r="AA109" s="77"/>
      <c r="AB109" s="145"/>
    </row>
    <row r="110" spans="4:28">
      <c r="D110" s="1"/>
      <c r="AA110" s="77"/>
      <c r="AB110" s="145"/>
    </row>
    <row r="111" spans="4:28">
      <c r="D111" s="1"/>
      <c r="AA111" s="77"/>
      <c r="AB111" s="145"/>
    </row>
    <row r="112" spans="4:28">
      <c r="D112" s="1"/>
      <c r="AA112" s="77"/>
      <c r="AB112" s="145"/>
    </row>
    <row r="113" spans="4:28">
      <c r="D113" s="1"/>
      <c r="AA113" s="77"/>
      <c r="AB113" s="145"/>
    </row>
    <row r="114" spans="4:28">
      <c r="D114" s="1"/>
      <c r="AA114" s="77"/>
      <c r="AB114" s="145"/>
    </row>
    <row r="115" spans="4:28">
      <c r="D115" s="1"/>
      <c r="AA115" s="77"/>
      <c r="AB115" s="145"/>
    </row>
    <row r="116" spans="4:28">
      <c r="D116" s="1"/>
      <c r="AA116" s="77"/>
      <c r="AB116" s="145"/>
    </row>
    <row r="117" spans="4:28">
      <c r="D117" s="1"/>
      <c r="AA117" s="77"/>
      <c r="AB117" s="145"/>
    </row>
    <row r="118" spans="4:28">
      <c r="D118" s="1"/>
      <c r="AA118" s="77"/>
      <c r="AB118" s="145"/>
    </row>
    <row r="119" spans="4:28">
      <c r="D119" s="1"/>
      <c r="AA119" s="77"/>
      <c r="AB119" s="145"/>
    </row>
    <row r="120" spans="4:28">
      <c r="D120" s="1"/>
      <c r="AA120" s="77"/>
      <c r="AB120" s="145"/>
    </row>
    <row r="121" spans="4:28">
      <c r="D121" s="1"/>
      <c r="AA121" s="77"/>
      <c r="AB121" s="145"/>
    </row>
    <row r="122" spans="4:28">
      <c r="D122" s="1"/>
      <c r="AA122" s="77"/>
      <c r="AB122" s="145"/>
    </row>
    <row r="123" spans="4:28">
      <c r="D123" s="1"/>
      <c r="AA123" s="77"/>
      <c r="AB123" s="145"/>
    </row>
    <row r="124" spans="4:28">
      <c r="D124" s="1"/>
      <c r="AA124" s="77"/>
      <c r="AB124" s="145"/>
    </row>
    <row r="125" spans="4:28">
      <c r="D125" s="1"/>
      <c r="AA125" s="77"/>
      <c r="AB125" s="145"/>
    </row>
    <row r="126" spans="4:28">
      <c r="D126" s="1"/>
      <c r="AA126" s="77"/>
      <c r="AB126" s="145"/>
    </row>
    <row r="127" spans="4:28">
      <c r="D127" s="1"/>
      <c r="AA127" s="77"/>
      <c r="AB127" s="145"/>
    </row>
    <row r="128" spans="4:28">
      <c r="D128" s="1"/>
      <c r="AA128" s="77"/>
      <c r="AB128" s="145"/>
    </row>
    <row r="129" spans="1:28">
      <c r="D129" s="1"/>
      <c r="AA129" s="77"/>
      <c r="AB129" s="145"/>
    </row>
    <row r="130" spans="1:28">
      <c r="A130" s="132"/>
      <c r="B130" s="132"/>
      <c r="C130" s="132"/>
      <c r="D130" s="133"/>
      <c r="E130" s="134"/>
      <c r="F130" s="134"/>
      <c r="G130" s="134"/>
      <c r="H130" s="134"/>
      <c r="I130" s="134"/>
      <c r="J130" s="134"/>
      <c r="K130" s="134"/>
      <c r="L130" s="134"/>
      <c r="M130" s="135"/>
      <c r="N130" s="135"/>
      <c r="O130" s="134"/>
      <c r="P130" s="136"/>
      <c r="Q130" s="136"/>
      <c r="R130" s="137"/>
      <c r="S130" s="137"/>
      <c r="T130" s="135"/>
      <c r="U130" s="135"/>
      <c r="V130" s="138"/>
      <c r="W130" s="139"/>
      <c r="X130" s="140"/>
      <c r="Y130" s="134"/>
      <c r="Z130" s="141"/>
      <c r="AA130" s="142"/>
      <c r="AB130" s="143"/>
    </row>
  </sheetData>
  <sheetProtection formatCells="0" formatColumns="0" formatRows="0" insertColumns="0" insertRows="0" insertHyperlinks="0" deleteColumns="0" deleteRows="0" sort="0" autoFilter="0" pivotTables="0"/>
  <mergeCells count="27">
    <mergeCell ref="AC3:AF3"/>
    <mergeCell ref="AG3:AJ3"/>
    <mergeCell ref="G16:I16"/>
    <mergeCell ref="Z3:Z4"/>
    <mergeCell ref="AA3:AA4"/>
    <mergeCell ref="AB3:AB4"/>
    <mergeCell ref="U3:U4"/>
    <mergeCell ref="V3:V4"/>
    <mergeCell ref="W3:W4"/>
    <mergeCell ref="X3:X4"/>
    <mergeCell ref="Y3:Y4"/>
    <mergeCell ref="AC1:CA1"/>
    <mergeCell ref="D2:F2"/>
    <mergeCell ref="A3:A4"/>
    <mergeCell ref="B3:B4"/>
    <mergeCell ref="C3:C4"/>
    <mergeCell ref="D3:D4"/>
    <mergeCell ref="E3:K4"/>
    <mergeCell ref="L3:L4"/>
    <mergeCell ref="M3:M4"/>
    <mergeCell ref="N3:N4"/>
    <mergeCell ref="O3:O4"/>
    <mergeCell ref="P3:P4"/>
    <mergeCell ref="Q3:Q4"/>
    <mergeCell ref="R3:R4"/>
    <mergeCell ref="S3:S4"/>
    <mergeCell ref="T3:T4"/>
  </mergeCells>
  <phoneticPr fontId="40" type="noConversion"/>
  <conditionalFormatting sqref="D5:AB56">
    <cfRule type="expression" dxfId="1" priority="2">
      <formula>($B5="G")</formula>
    </cfRule>
    <cfRule type="expression" dxfId="0" priority="1">
      <formula>($AB5=1)</formula>
    </cfRule>
  </conditionalFormatting>
  <hyperlinks>
    <hyperlink ref="AC1:CA1" r:id="rId1" display="http://xlworks.net/" xr:uid="{BDEA4525-B4DB-4FCB-9078-4F00B13C8AED}"/>
  </hyperlinks>
  <pageMargins left="0.19666667282581329" right="0.23597222566604614" top="0.43291667103767395" bottom="0.23597222566604614" header="0.23597222566604614" footer="0.19666667282581329"/>
  <pageSetup paperSize="9" scale="30" fitToHeight="0" orientation="landscape"/>
  <headerFooter>
    <oddFooter>&amp;L&amp;"맑은 고딕,Regular"&amp;9XLGantt ©http://xlworks.net&amp;C&amp;"맑은 고딕,Regular"&amp;9&amp;P/&amp;N</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zoomScaleSheetLayoutView="75" workbookViewId="0">
      <pane ySplit="1" topLeftCell="A2" activePane="bottomLeft" state="frozen"/>
      <selection pane="bottomLeft" activeCell="B39" sqref="B39"/>
    </sheetView>
  </sheetViews>
  <sheetFormatPr defaultColWidth="10" defaultRowHeight="15"/>
  <cols>
    <col min="1" max="1" width="35.375" style="55" customWidth="1"/>
    <col min="2" max="2" width="13.25" style="53" customWidth="1"/>
    <col min="3" max="3" width="9.875" style="57" customWidth="1"/>
    <col min="4" max="4" width="31.375" style="57" customWidth="1"/>
    <col min="5" max="6" width="14.125" style="57" customWidth="1"/>
    <col min="7" max="7" width="28.375" style="57" customWidth="1"/>
    <col min="8" max="9" width="10" style="57"/>
    <col min="10" max="10" width="8.875" style="57" bestFit="1" customWidth="1"/>
    <col min="11" max="19" width="10" style="57"/>
    <col min="20" max="22" width="10" style="57" customWidth="1"/>
    <col min="23" max="23" width="10" style="57" hidden="1" customWidth="1"/>
    <col min="24" max="16384" width="10" style="57"/>
  </cols>
  <sheetData>
    <row r="1" spans="1:17" s="16" customFormat="1" ht="36.950000000000003" customHeight="1">
      <c r="A1" s="13" t="s">
        <v>1257</v>
      </c>
      <c r="B1" s="14"/>
      <c r="C1" s="14"/>
      <c r="D1" s="14"/>
      <c r="E1" s="14"/>
      <c r="F1" s="14"/>
      <c r="G1" s="14"/>
      <c r="H1" s="14"/>
      <c r="I1" s="14"/>
      <c r="J1" s="14"/>
      <c r="K1" s="14"/>
      <c r="L1" s="205"/>
      <c r="M1" s="206"/>
      <c r="N1" s="206"/>
      <c r="O1" s="15"/>
      <c r="P1" s="15"/>
      <c r="Q1" s="15"/>
    </row>
    <row r="2" spans="1:17" s="19" customFormat="1" ht="12.75">
      <c r="A2" s="17" t="s">
        <v>875</v>
      </c>
      <c r="B2" s="18"/>
    </row>
    <row r="3" spans="1:17" s="19" customFormat="1" ht="12.75">
      <c r="A3" s="17" t="s">
        <v>42</v>
      </c>
      <c r="B3" s="18"/>
    </row>
    <row r="4" spans="1:17" s="19" customFormat="1" ht="12.75">
      <c r="A4" s="202"/>
      <c r="B4" s="202"/>
      <c r="C4" s="20"/>
      <c r="D4" s="21"/>
      <c r="E4" s="21"/>
      <c r="F4" s="21"/>
    </row>
    <row r="5" spans="1:17" s="27" customFormat="1" ht="12.75">
      <c r="A5" s="22"/>
      <c r="B5" s="23"/>
      <c r="C5" s="24"/>
      <c r="D5" s="25"/>
      <c r="E5" s="26"/>
      <c r="F5" s="26"/>
      <c r="G5" s="26"/>
    </row>
    <row r="6" spans="1:17" s="27" customFormat="1" ht="12.75">
      <c r="A6" s="28" t="s">
        <v>768</v>
      </c>
      <c r="B6" s="29">
        <v>47</v>
      </c>
      <c r="C6" s="27" t="s">
        <v>918</v>
      </c>
      <c r="D6" s="203" t="s">
        <v>97</v>
      </c>
      <c r="E6" s="203"/>
      <c r="F6" s="203"/>
      <c r="G6" s="203"/>
    </row>
    <row r="7" spans="1:17" s="27" customFormat="1" ht="12.75">
      <c r="A7" s="30"/>
      <c r="B7" s="31"/>
      <c r="C7" s="32"/>
      <c r="D7" s="33"/>
      <c r="E7" s="33"/>
      <c r="F7" s="33"/>
      <c r="G7" s="33"/>
    </row>
    <row r="8" spans="1:17" s="27" customFormat="1" ht="12.75" customHeight="1">
      <c r="A8" s="34"/>
      <c r="B8" s="35"/>
      <c r="D8" s="25"/>
      <c r="E8" s="25"/>
      <c r="F8" s="25"/>
      <c r="G8" s="25"/>
      <c r="J8" s="36"/>
    </row>
    <row r="9" spans="1:17" s="27" customFormat="1" ht="12.75">
      <c r="A9" s="28" t="s">
        <v>262</v>
      </c>
      <c r="B9" s="29">
        <v>18</v>
      </c>
      <c r="C9" s="27" t="s">
        <v>918</v>
      </c>
      <c r="D9" s="204" t="s">
        <v>686</v>
      </c>
      <c r="E9" s="204"/>
      <c r="F9" s="204"/>
      <c r="G9" s="204"/>
    </row>
    <row r="10" spans="1:17" s="27" customFormat="1" ht="12.75">
      <c r="A10" s="37"/>
      <c r="B10" s="31"/>
      <c r="C10" s="32"/>
      <c r="D10" s="38"/>
      <c r="E10" s="38"/>
      <c r="F10" s="38"/>
      <c r="G10" s="38"/>
    </row>
    <row r="11" spans="1:17" s="27" customFormat="1" ht="13.5" customHeight="1">
      <c r="A11" s="39"/>
      <c r="B11" s="35"/>
      <c r="D11" s="25"/>
      <c r="E11" s="25"/>
      <c r="F11" s="25"/>
      <c r="G11" s="25"/>
    </row>
    <row r="12" spans="1:17" s="27" customFormat="1" ht="12.75" customHeight="1">
      <c r="A12" s="40" t="s">
        <v>1258</v>
      </c>
      <c r="B12" s="29">
        <v>7.46</v>
      </c>
      <c r="C12" s="27" t="s">
        <v>918</v>
      </c>
      <c r="D12" s="204" t="s">
        <v>1259</v>
      </c>
      <c r="E12" s="204"/>
      <c r="F12" s="204"/>
      <c r="G12" s="204"/>
    </row>
    <row r="13" spans="1:17" s="43" customFormat="1" ht="12.75">
      <c r="A13" s="41"/>
      <c r="B13" s="31"/>
      <c r="C13" s="42"/>
      <c r="D13" s="38"/>
      <c r="E13" s="38"/>
      <c r="F13" s="38"/>
      <c r="G13" s="38"/>
      <c r="K13" s="44"/>
    </row>
    <row r="14" spans="1:17" s="43" customFormat="1" ht="14.25" customHeight="1">
      <c r="A14" s="39"/>
      <c r="B14" s="23"/>
      <c r="C14" s="45"/>
      <c r="D14" s="25"/>
      <c r="E14" s="25"/>
      <c r="F14" s="25"/>
      <c r="G14" s="25"/>
    </row>
    <row r="15" spans="1:17" s="27" customFormat="1" ht="12.75" customHeight="1">
      <c r="A15" s="40" t="s">
        <v>784</v>
      </c>
      <c r="B15" s="29"/>
      <c r="C15" s="27" t="s">
        <v>918</v>
      </c>
      <c r="D15" s="204" t="s">
        <v>10</v>
      </c>
      <c r="E15" s="204"/>
      <c r="F15" s="204"/>
      <c r="G15" s="204"/>
    </row>
    <row r="16" spans="1:17" s="27" customFormat="1" ht="12.75">
      <c r="A16" s="41"/>
      <c r="B16" s="31"/>
      <c r="C16" s="32"/>
      <c r="D16" s="38"/>
      <c r="E16" s="38"/>
      <c r="F16" s="38"/>
      <c r="G16" s="38"/>
    </row>
    <row r="17" spans="1:7" s="43" customFormat="1" ht="12.75" customHeight="1">
      <c r="A17" s="46"/>
      <c r="B17" s="23"/>
      <c r="C17" s="45"/>
      <c r="D17" s="25"/>
      <c r="E17" s="25"/>
      <c r="F17" s="25"/>
      <c r="G17" s="25"/>
    </row>
    <row r="18" spans="1:7" s="27" customFormat="1" ht="12.75">
      <c r="A18" s="28" t="s">
        <v>776</v>
      </c>
      <c r="B18" s="47">
        <v>0.38297872340425532</v>
      </c>
      <c r="D18" s="204" t="s">
        <v>155</v>
      </c>
      <c r="E18" s="204"/>
      <c r="F18" s="204"/>
      <c r="G18" s="204"/>
    </row>
    <row r="19" spans="1:7" s="27" customFormat="1" ht="12.75">
      <c r="A19" s="30"/>
      <c r="B19" s="31"/>
      <c r="C19" s="32"/>
      <c r="D19" s="38"/>
      <c r="E19" s="38"/>
      <c r="F19" s="38"/>
      <c r="G19" s="38"/>
    </row>
    <row r="20" spans="1:7" s="27" customFormat="1" ht="12.75" customHeight="1">
      <c r="A20" s="48"/>
      <c r="B20" s="23"/>
      <c r="C20" s="24"/>
      <c r="D20" s="25"/>
      <c r="E20" s="25"/>
      <c r="F20" s="25"/>
      <c r="G20" s="25"/>
    </row>
    <row r="21" spans="1:7" s="27" customFormat="1" ht="12.75">
      <c r="A21" s="28" t="s">
        <v>789</v>
      </c>
      <c r="B21" s="47">
        <v>0.15872340425531914</v>
      </c>
      <c r="D21" s="204" t="s">
        <v>695</v>
      </c>
      <c r="E21" s="204"/>
      <c r="F21" s="204"/>
      <c r="G21" s="204"/>
    </row>
    <row r="22" spans="1:7" s="27" customFormat="1" ht="12.75">
      <c r="A22" s="30"/>
      <c r="B22" s="31"/>
      <c r="C22" s="32"/>
      <c r="D22" s="38"/>
      <c r="E22" s="38"/>
      <c r="F22" s="38"/>
      <c r="G22" s="38"/>
    </row>
    <row r="23" spans="1:7" s="27" customFormat="1" ht="13.5" customHeight="1">
      <c r="A23" s="49"/>
      <c r="B23" s="23"/>
      <c r="C23" s="24"/>
      <c r="D23" s="26"/>
      <c r="E23" s="26"/>
      <c r="F23" s="26"/>
      <c r="G23" s="26"/>
    </row>
    <row r="24" spans="1:7" s="27" customFormat="1" ht="12.75">
      <c r="A24" s="28" t="s">
        <v>1106</v>
      </c>
      <c r="B24" s="50">
        <f>ACTUAL_RATE-PLANNED_RATE</f>
        <v>-0.22425531914893618</v>
      </c>
      <c r="D24" s="203" t="s">
        <v>332</v>
      </c>
      <c r="E24" s="203"/>
      <c r="F24" s="203"/>
      <c r="G24" s="203"/>
    </row>
    <row r="25" spans="1:7" s="27" customFormat="1" ht="12.75">
      <c r="A25" s="51"/>
      <c r="B25" s="31"/>
      <c r="C25" s="32"/>
      <c r="D25" s="33"/>
      <c r="E25" s="33"/>
      <c r="F25" s="33"/>
      <c r="G25" s="33"/>
    </row>
    <row r="26" spans="1:7" s="54" customFormat="1">
      <c r="A26" s="52"/>
      <c r="B26" s="53"/>
    </row>
    <row r="27" spans="1:7">
      <c r="B27" s="56"/>
      <c r="G27" s="55"/>
    </row>
    <row r="28" spans="1:7">
      <c r="B28" s="58"/>
    </row>
    <row r="29" spans="1:7">
      <c r="B29" s="58"/>
    </row>
    <row r="30" spans="1:7">
      <c r="B30" s="59"/>
    </row>
  </sheetData>
  <mergeCells count="9">
    <mergeCell ref="D18:G18"/>
    <mergeCell ref="D21:G21"/>
    <mergeCell ref="D24:G24"/>
    <mergeCell ref="L1:N1"/>
    <mergeCell ref="A4:B4"/>
    <mergeCell ref="D6:G6"/>
    <mergeCell ref="D9:G9"/>
    <mergeCell ref="D12:G12"/>
    <mergeCell ref="D15:G15"/>
  </mergeCells>
  <phoneticPr fontId="40" type="noConversion"/>
  <conditionalFormatting sqref="J1">
    <cfRule type="expression" dxfId="2" priority="1">
      <formula>$J1="Yes"</formula>
    </cfRule>
  </conditionalFormatting>
  <pageMargins left="0.69972223043441772" right="0.69972223043441772" top="0.75" bottom="0.75" header="0.30000001192092896" footer="0.30000001192092896"/>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F29"/>
  <sheetViews>
    <sheetView showGridLines="0" zoomScale="80" zoomScaleNormal="80" zoomScaleSheetLayoutView="75" workbookViewId="0">
      <pane ySplit="1" topLeftCell="A2" activePane="bottomLeft" state="frozen"/>
      <selection pane="bottomLeft"/>
    </sheetView>
  </sheetViews>
  <sheetFormatPr defaultColWidth="9.125" defaultRowHeight="15"/>
  <cols>
    <col min="1" max="1" width="1.625" style="154" customWidth="1"/>
    <col min="2" max="3" width="10.625" style="154" bestFit="1" customWidth="1"/>
    <col min="4" max="4" width="9.125" style="154"/>
    <col min="5" max="5" width="10.625" style="154" customWidth="1"/>
    <col min="6" max="16384" width="9.125" style="154"/>
  </cols>
  <sheetData>
    <row r="1" spans="2:6" ht="36.950000000000003" customHeight="1">
      <c r="B1" s="60" t="s">
        <v>781</v>
      </c>
    </row>
    <row r="2" spans="2:6">
      <c r="B2" s="154" t="s">
        <v>316</v>
      </c>
    </row>
    <row r="3" spans="2:6">
      <c r="B3" s="154" t="s">
        <v>872</v>
      </c>
    </row>
    <row r="6" spans="2:6" ht="45">
      <c r="B6" s="61" t="s">
        <v>608</v>
      </c>
      <c r="C6" s="144" t="s">
        <v>600</v>
      </c>
      <c r="D6" s="144" t="s">
        <v>950</v>
      </c>
      <c r="E6" s="144" t="s">
        <v>783</v>
      </c>
      <c r="F6" s="153" t="s">
        <v>617</v>
      </c>
    </row>
    <row r="7" spans="2:6">
      <c r="B7" s="149">
        <v>43375</v>
      </c>
      <c r="C7" s="149">
        <v>43379</v>
      </c>
      <c r="D7" s="150">
        <v>1</v>
      </c>
      <c r="E7" s="150">
        <f>D7</f>
        <v>1</v>
      </c>
      <c r="F7" s="155">
        <f t="shared" ref="F7:F28" si="0">E7/$D$29</f>
        <v>3.8022813688212928E-3</v>
      </c>
    </row>
    <row r="8" spans="2:6">
      <c r="B8" s="151">
        <v>43380</v>
      </c>
      <c r="C8" s="151">
        <v>43386</v>
      </c>
      <c r="D8" s="152">
        <v>10</v>
      </c>
      <c r="E8" s="152">
        <f>E7+D8</f>
        <v>11</v>
      </c>
      <c r="F8" s="156">
        <f t="shared" si="0"/>
        <v>4.1825095057034217E-2</v>
      </c>
    </row>
    <row r="9" spans="2:6">
      <c r="B9" s="151">
        <v>43387</v>
      </c>
      <c r="C9" s="151">
        <v>43393</v>
      </c>
      <c r="D9" s="152">
        <v>15</v>
      </c>
      <c r="E9" s="152">
        <f t="shared" ref="E9:E28" si="1">E8+D9</f>
        <v>26</v>
      </c>
      <c r="F9" s="156">
        <f t="shared" si="0"/>
        <v>9.8859315589353611E-2</v>
      </c>
    </row>
    <row r="10" spans="2:6">
      <c r="B10" s="151">
        <v>43394</v>
      </c>
      <c r="C10" s="151">
        <v>43400</v>
      </c>
      <c r="D10" s="152">
        <v>10</v>
      </c>
      <c r="E10" s="152">
        <f t="shared" si="1"/>
        <v>36</v>
      </c>
      <c r="F10" s="156">
        <f t="shared" si="0"/>
        <v>0.13688212927756654</v>
      </c>
    </row>
    <row r="11" spans="2:6">
      <c r="B11" s="151">
        <v>43401</v>
      </c>
      <c r="C11" s="151">
        <v>43407</v>
      </c>
      <c r="D11" s="152">
        <v>9</v>
      </c>
      <c r="E11" s="152">
        <f t="shared" si="1"/>
        <v>45</v>
      </c>
      <c r="F11" s="156">
        <f t="shared" si="0"/>
        <v>0.17110266159695817</v>
      </c>
    </row>
    <row r="12" spans="2:6">
      <c r="B12" s="151">
        <v>43408</v>
      </c>
      <c r="C12" s="151">
        <v>43414</v>
      </c>
      <c r="D12" s="152">
        <v>12</v>
      </c>
      <c r="E12" s="152">
        <f t="shared" si="1"/>
        <v>57</v>
      </c>
      <c r="F12" s="156">
        <f t="shared" si="0"/>
        <v>0.21673003802281368</v>
      </c>
    </row>
    <row r="13" spans="2:6">
      <c r="B13" s="151">
        <v>43415</v>
      </c>
      <c r="C13" s="151">
        <v>43421</v>
      </c>
      <c r="D13" s="152">
        <v>14</v>
      </c>
      <c r="E13" s="152">
        <f t="shared" si="1"/>
        <v>71</v>
      </c>
      <c r="F13" s="156">
        <f t="shared" si="0"/>
        <v>0.26996197718631176</v>
      </c>
    </row>
    <row r="14" spans="2:6">
      <c r="B14" s="151">
        <v>43422</v>
      </c>
      <c r="C14" s="151">
        <v>43428</v>
      </c>
      <c r="D14" s="152">
        <v>7</v>
      </c>
      <c r="E14" s="152">
        <f t="shared" si="1"/>
        <v>78</v>
      </c>
      <c r="F14" s="156">
        <f t="shared" si="0"/>
        <v>0.29657794676806082</v>
      </c>
    </row>
    <row r="15" spans="2:6">
      <c r="B15" s="151">
        <v>43429</v>
      </c>
      <c r="C15" s="151">
        <v>43435</v>
      </c>
      <c r="D15" s="152">
        <v>8</v>
      </c>
      <c r="E15" s="152">
        <f t="shared" si="1"/>
        <v>86</v>
      </c>
      <c r="F15" s="156">
        <f t="shared" si="0"/>
        <v>0.3269961977186312</v>
      </c>
    </row>
    <row r="16" spans="2:6">
      <c r="B16" s="151">
        <v>43436</v>
      </c>
      <c r="C16" s="151">
        <v>43442</v>
      </c>
      <c r="D16" s="152">
        <v>18</v>
      </c>
      <c r="E16" s="152">
        <f t="shared" si="1"/>
        <v>104</v>
      </c>
      <c r="F16" s="156">
        <f t="shared" si="0"/>
        <v>0.39543726235741444</v>
      </c>
    </row>
    <row r="17" spans="2:6">
      <c r="B17" s="151">
        <v>43443</v>
      </c>
      <c r="C17" s="151">
        <v>43449</v>
      </c>
      <c r="D17" s="152">
        <v>18</v>
      </c>
      <c r="E17" s="152">
        <f t="shared" si="1"/>
        <v>122</v>
      </c>
      <c r="F17" s="156">
        <f t="shared" si="0"/>
        <v>0.46387832699619774</v>
      </c>
    </row>
    <row r="18" spans="2:6">
      <c r="B18" s="151">
        <v>43450</v>
      </c>
      <c r="C18" s="151">
        <v>43456</v>
      </c>
      <c r="D18" s="152">
        <v>17</v>
      </c>
      <c r="E18" s="152">
        <f t="shared" si="1"/>
        <v>139</v>
      </c>
      <c r="F18" s="156">
        <f t="shared" si="0"/>
        <v>0.52851711026615966</v>
      </c>
    </row>
    <row r="19" spans="2:6">
      <c r="B19" s="151">
        <v>43457</v>
      </c>
      <c r="C19" s="151">
        <v>43463</v>
      </c>
      <c r="D19" s="152">
        <v>12</v>
      </c>
      <c r="E19" s="152">
        <f t="shared" si="1"/>
        <v>151</v>
      </c>
      <c r="F19" s="156">
        <f t="shared" si="0"/>
        <v>0.57414448669201523</v>
      </c>
    </row>
    <row r="20" spans="2:6">
      <c r="B20" s="151">
        <v>43464</v>
      </c>
      <c r="C20" s="151">
        <v>43470</v>
      </c>
      <c r="D20" s="152">
        <v>14</v>
      </c>
      <c r="E20" s="152">
        <f t="shared" si="1"/>
        <v>165</v>
      </c>
      <c r="F20" s="156">
        <f t="shared" si="0"/>
        <v>0.62737642585551334</v>
      </c>
    </row>
    <row r="21" spans="2:6">
      <c r="B21" s="151">
        <v>43471</v>
      </c>
      <c r="C21" s="151">
        <v>43477</v>
      </c>
      <c r="D21" s="152">
        <v>21</v>
      </c>
      <c r="E21" s="152">
        <f t="shared" si="1"/>
        <v>186</v>
      </c>
      <c r="F21" s="156">
        <f t="shared" si="0"/>
        <v>0.70722433460076051</v>
      </c>
    </row>
    <row r="22" spans="2:6">
      <c r="B22" s="151">
        <v>43478</v>
      </c>
      <c r="C22" s="151">
        <v>43484</v>
      </c>
      <c r="D22" s="152">
        <v>25</v>
      </c>
      <c r="E22" s="152">
        <f t="shared" si="1"/>
        <v>211</v>
      </c>
      <c r="F22" s="156">
        <f t="shared" si="0"/>
        <v>0.80228136882129275</v>
      </c>
    </row>
    <row r="23" spans="2:6">
      <c r="B23" s="151">
        <v>43485</v>
      </c>
      <c r="C23" s="151">
        <v>43491</v>
      </c>
      <c r="D23" s="152">
        <v>25</v>
      </c>
      <c r="E23" s="152">
        <f t="shared" si="1"/>
        <v>236</v>
      </c>
      <c r="F23" s="156">
        <f t="shared" si="0"/>
        <v>0.89733840304182511</v>
      </c>
    </row>
    <row r="24" spans="2:6">
      <c r="B24" s="151">
        <v>43492</v>
      </c>
      <c r="C24" s="151">
        <v>43498</v>
      </c>
      <c r="D24" s="152">
        <v>8</v>
      </c>
      <c r="E24" s="152">
        <f t="shared" si="1"/>
        <v>244</v>
      </c>
      <c r="F24" s="156">
        <f t="shared" si="0"/>
        <v>0.92775665399239549</v>
      </c>
    </row>
    <row r="25" spans="2:6">
      <c r="B25" s="151">
        <v>43499</v>
      </c>
      <c r="C25" s="151">
        <v>43505</v>
      </c>
      <c r="D25" s="152">
        <v>6</v>
      </c>
      <c r="E25" s="152">
        <f t="shared" si="1"/>
        <v>250</v>
      </c>
      <c r="F25" s="156">
        <f t="shared" si="0"/>
        <v>0.95057034220532322</v>
      </c>
    </row>
    <row r="26" spans="2:6">
      <c r="B26" s="151">
        <v>43506</v>
      </c>
      <c r="C26" s="151">
        <v>43512</v>
      </c>
      <c r="D26" s="152">
        <v>4</v>
      </c>
      <c r="E26" s="152">
        <f t="shared" si="1"/>
        <v>254</v>
      </c>
      <c r="F26" s="156">
        <f t="shared" si="0"/>
        <v>0.96577946768060841</v>
      </c>
    </row>
    <row r="27" spans="2:6">
      <c r="B27" s="151">
        <v>43513</v>
      </c>
      <c r="C27" s="151">
        <v>43519</v>
      </c>
      <c r="D27" s="152">
        <v>5</v>
      </c>
      <c r="E27" s="152">
        <f t="shared" si="1"/>
        <v>259</v>
      </c>
      <c r="F27" s="156">
        <f t="shared" si="0"/>
        <v>0.98479087452471481</v>
      </c>
    </row>
    <row r="28" spans="2:6">
      <c r="B28" s="151">
        <v>43520</v>
      </c>
      <c r="C28" s="151">
        <v>43526</v>
      </c>
      <c r="D28" s="152">
        <v>4</v>
      </c>
      <c r="E28" s="152">
        <f t="shared" si="1"/>
        <v>263</v>
      </c>
      <c r="F28" s="156">
        <f t="shared" si="0"/>
        <v>1</v>
      </c>
    </row>
    <row r="29" spans="2:6">
      <c r="C29" s="154" t="s">
        <v>943</v>
      </c>
      <c r="D29" s="154">
        <f>SUM(D7:D28)</f>
        <v>263</v>
      </c>
    </row>
  </sheetData>
  <sortState xmlns:xlrd2="http://schemas.microsoft.com/office/spreadsheetml/2017/richdata2" ref="A7:M47">
    <sortCondition ref="A7:A49"/>
    <sortCondition ref="B7:B49"/>
  </sortState>
  <phoneticPr fontId="40" type="noConversion"/>
  <pageMargins left="0.69972223043441772" right="0.69972223043441772" top="0.75" bottom="0.75" header="0.30000001192092896" footer="0.30000001192092896"/>
  <pageSetup paperSize="9" orientation="portrait"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zoomScaleSheetLayoutView="75" workbookViewId="0">
      <pane ySplit="1" topLeftCell="A2" activePane="bottomLeft" state="frozen"/>
      <selection pane="bottomLeft" activeCell="E5" sqref="E5"/>
    </sheetView>
  </sheetViews>
  <sheetFormatPr defaultColWidth="10" defaultRowHeight="15"/>
  <cols>
    <col min="1" max="1" width="31.625" style="62" customWidth="1"/>
    <col min="2" max="2" width="14.5" style="62" customWidth="1"/>
    <col min="3" max="3" width="7.625" style="62" customWidth="1"/>
    <col min="4" max="4" width="21.5" style="62" customWidth="1"/>
    <col min="5" max="5" width="14.125" style="62" customWidth="1"/>
    <col min="6" max="6" width="10" style="62"/>
    <col min="7" max="7" width="24.25" style="62" customWidth="1"/>
    <col min="8" max="8" width="18.375" style="62" bestFit="1" customWidth="1"/>
    <col min="9" max="9" width="11.125" style="62" bestFit="1" customWidth="1"/>
    <col min="10" max="10" width="27.375" style="62" bestFit="1" customWidth="1"/>
    <col min="11" max="19" width="10" style="62"/>
    <col min="20" max="23" width="10" style="62" customWidth="1"/>
    <col min="24" max="16384" width="10" style="62"/>
  </cols>
  <sheetData>
    <row r="1" spans="1:9" ht="36.950000000000003" customHeight="1">
      <c r="A1" s="13" t="s">
        <v>869</v>
      </c>
      <c r="B1" s="13"/>
      <c r="C1" s="13"/>
      <c r="D1" s="13"/>
      <c r="E1" s="13"/>
      <c r="F1" s="13"/>
      <c r="G1" s="13"/>
      <c r="H1" s="13"/>
    </row>
    <row r="2" spans="1:9" s="63" customFormat="1" ht="78.75" customHeight="1">
      <c r="A2" s="207" t="s">
        <v>125</v>
      </c>
      <c r="B2" s="207"/>
      <c r="C2" s="207"/>
      <c r="D2" s="207"/>
      <c r="E2" s="207"/>
      <c r="F2" s="207"/>
      <c r="G2" s="207"/>
      <c r="H2" s="207"/>
    </row>
    <row r="3" spans="1:9" s="63" customFormat="1" ht="24.75" customHeight="1">
      <c r="A3" s="208" t="s">
        <v>1139</v>
      </c>
      <c r="B3" s="208"/>
      <c r="D3" s="208" t="s">
        <v>778</v>
      </c>
      <c r="E3" s="208"/>
      <c r="G3" s="208" t="s">
        <v>771</v>
      </c>
      <c r="H3" s="208"/>
    </row>
    <row r="4" spans="1:9" s="65" customFormat="1" ht="19.5" customHeight="1">
      <c r="A4" s="64" t="s">
        <v>1078</v>
      </c>
      <c r="B4" s="64" t="s">
        <v>1099</v>
      </c>
      <c r="D4" s="64" t="s">
        <v>1078</v>
      </c>
      <c r="E4" s="64" t="s">
        <v>1099</v>
      </c>
      <c r="G4" s="64" t="s">
        <v>1078</v>
      </c>
      <c r="H4" s="64" t="s">
        <v>1099</v>
      </c>
    </row>
    <row r="5" spans="1:9" ht="16.5">
      <c r="A5" s="90" t="s">
        <v>194</v>
      </c>
      <c r="B5" s="91">
        <v>43101</v>
      </c>
      <c r="C5" s="62" t="str">
        <f t="shared" ref="C5:C68" si="0">IF(B5&gt;0,TEXT(B5,"(aaa)"),"")</f>
        <v>(월)</v>
      </c>
      <c r="D5" s="66"/>
      <c r="E5" s="67"/>
      <c r="F5" s="62" t="str">
        <f t="shared" ref="F5:F68" si="1">IF(E5&gt;0,TEXT(E5,"(aaa)"),"")</f>
        <v/>
      </c>
      <c r="G5" s="66"/>
      <c r="H5" s="67"/>
      <c r="I5" s="62" t="str">
        <f t="shared" ref="I5:I68" si="2">IF(H5&gt;0,TEXT(H5,"(aaa)"),"")</f>
        <v/>
      </c>
    </row>
    <row r="6" spans="1:9" ht="16.5">
      <c r="A6" s="90" t="s">
        <v>193</v>
      </c>
      <c r="B6" s="91">
        <v>43146</v>
      </c>
      <c r="C6" s="62" t="str">
        <f t="shared" si="0"/>
        <v>(목)</v>
      </c>
      <c r="D6" s="66"/>
      <c r="E6" s="67"/>
      <c r="F6" s="62" t="str">
        <f t="shared" si="1"/>
        <v/>
      </c>
      <c r="G6" s="66"/>
      <c r="H6" s="67"/>
      <c r="I6" s="62" t="str">
        <f t="shared" si="2"/>
        <v/>
      </c>
    </row>
    <row r="7" spans="1:9" ht="16.5">
      <c r="A7" s="90" t="s">
        <v>191</v>
      </c>
      <c r="B7" s="91">
        <v>43147</v>
      </c>
      <c r="C7" s="62" t="str">
        <f t="shared" si="0"/>
        <v>(금)</v>
      </c>
      <c r="D7" s="66"/>
      <c r="E7" s="67"/>
      <c r="F7" s="62" t="str">
        <f t="shared" si="1"/>
        <v/>
      </c>
      <c r="G7" s="66"/>
      <c r="H7" s="67"/>
      <c r="I7" s="62" t="str">
        <f t="shared" si="2"/>
        <v/>
      </c>
    </row>
    <row r="8" spans="1:9" ht="16.5">
      <c r="A8" s="90" t="s">
        <v>192</v>
      </c>
      <c r="B8" s="91">
        <v>43160</v>
      </c>
      <c r="C8" s="62" t="str">
        <f t="shared" si="0"/>
        <v>(목)</v>
      </c>
      <c r="D8" s="66"/>
      <c r="E8" s="67"/>
      <c r="F8" s="62" t="str">
        <f t="shared" si="1"/>
        <v/>
      </c>
      <c r="G8" s="66"/>
      <c r="H8" s="67"/>
      <c r="I8" s="62" t="str">
        <f t="shared" si="2"/>
        <v/>
      </c>
    </row>
    <row r="9" spans="1:9" ht="16.5">
      <c r="A9" s="90" t="s">
        <v>1222</v>
      </c>
      <c r="B9" s="91">
        <v>43227</v>
      </c>
      <c r="C9" s="62" t="str">
        <f t="shared" si="0"/>
        <v>(월)</v>
      </c>
      <c r="D9" s="66"/>
      <c r="E9" s="67"/>
      <c r="F9" s="62" t="str">
        <f t="shared" si="1"/>
        <v/>
      </c>
      <c r="G9" s="66"/>
      <c r="H9" s="67"/>
      <c r="I9" s="62" t="str">
        <f t="shared" si="2"/>
        <v/>
      </c>
    </row>
    <row r="10" spans="1:9" ht="16.5">
      <c r="A10" s="90" t="s">
        <v>1223</v>
      </c>
      <c r="B10" s="91">
        <v>43242</v>
      </c>
      <c r="C10" s="62" t="str">
        <f t="shared" si="0"/>
        <v>(화)</v>
      </c>
      <c r="D10" s="66"/>
      <c r="E10" s="67"/>
      <c r="F10" s="62" t="str">
        <f t="shared" si="1"/>
        <v/>
      </c>
      <c r="G10" s="66"/>
      <c r="H10" s="67"/>
      <c r="I10" s="62" t="str">
        <f t="shared" si="2"/>
        <v/>
      </c>
    </row>
    <row r="11" spans="1:9" ht="16.5">
      <c r="A11" s="90" t="s">
        <v>196</v>
      </c>
      <c r="B11" s="91">
        <v>43257</v>
      </c>
      <c r="C11" s="62" t="str">
        <f t="shared" si="0"/>
        <v>(수)</v>
      </c>
      <c r="D11" s="66"/>
      <c r="E11" s="67"/>
      <c r="F11" s="62" t="str">
        <f t="shared" si="1"/>
        <v/>
      </c>
      <c r="G11" s="66"/>
      <c r="H11" s="67"/>
      <c r="I11" s="62" t="str">
        <f t="shared" si="2"/>
        <v/>
      </c>
    </row>
    <row r="12" spans="1:9" ht="16.5">
      <c r="A12" s="90" t="s">
        <v>195</v>
      </c>
      <c r="B12" s="91">
        <v>43327</v>
      </c>
      <c r="C12" s="62" t="str">
        <f t="shared" si="0"/>
        <v>(수)</v>
      </c>
      <c r="D12" s="66"/>
      <c r="E12" s="67"/>
      <c r="F12" s="62" t="str">
        <f t="shared" si="1"/>
        <v/>
      </c>
      <c r="G12" s="66"/>
      <c r="H12" s="67"/>
      <c r="I12" s="62" t="str">
        <f t="shared" si="2"/>
        <v/>
      </c>
    </row>
    <row r="13" spans="1:9" ht="16.5">
      <c r="A13" s="90" t="s">
        <v>197</v>
      </c>
      <c r="B13" s="91">
        <v>43367</v>
      </c>
      <c r="C13" s="62" t="str">
        <f t="shared" si="0"/>
        <v>(월)</v>
      </c>
      <c r="D13" s="66"/>
      <c r="E13" s="67"/>
      <c r="F13" s="62" t="str">
        <f t="shared" si="1"/>
        <v/>
      </c>
      <c r="G13" s="66"/>
      <c r="H13" s="67"/>
      <c r="I13" s="62" t="str">
        <f t="shared" si="2"/>
        <v/>
      </c>
    </row>
    <row r="14" spans="1:9" ht="16.5">
      <c r="A14" s="90" t="s">
        <v>198</v>
      </c>
      <c r="B14" s="91">
        <v>43368</v>
      </c>
      <c r="C14" s="62" t="str">
        <f t="shared" si="0"/>
        <v>(화)</v>
      </c>
      <c r="D14" s="66"/>
      <c r="E14" s="67"/>
      <c r="F14" s="62" t="str">
        <f t="shared" si="1"/>
        <v/>
      </c>
      <c r="G14" s="66"/>
      <c r="H14" s="67"/>
      <c r="I14" s="62" t="str">
        <f t="shared" si="2"/>
        <v/>
      </c>
    </row>
    <row r="15" spans="1:9" ht="16.5">
      <c r="A15" s="90" t="s">
        <v>1220</v>
      </c>
      <c r="B15" s="91">
        <v>43369</v>
      </c>
      <c r="C15" s="62" t="str">
        <f t="shared" si="0"/>
        <v>(수)</v>
      </c>
      <c r="D15" s="66"/>
      <c r="E15" s="67"/>
      <c r="F15" s="62" t="str">
        <f t="shared" si="1"/>
        <v/>
      </c>
      <c r="G15" s="66"/>
      <c r="H15" s="67"/>
      <c r="I15" s="62" t="str">
        <f t="shared" si="2"/>
        <v/>
      </c>
    </row>
    <row r="16" spans="1:9" ht="16.5">
      <c r="A16" s="90" t="s">
        <v>201</v>
      </c>
      <c r="B16" s="91">
        <v>43376</v>
      </c>
      <c r="C16" s="62" t="str">
        <f t="shared" si="0"/>
        <v>(수)</v>
      </c>
      <c r="D16" s="66"/>
      <c r="E16" s="67"/>
      <c r="F16" s="62" t="str">
        <f t="shared" si="1"/>
        <v/>
      </c>
      <c r="G16" s="66"/>
      <c r="H16" s="67"/>
      <c r="I16" s="62" t="str">
        <f t="shared" si="2"/>
        <v/>
      </c>
    </row>
    <row r="17" spans="1:10" ht="16.5">
      <c r="A17" s="90" t="s">
        <v>202</v>
      </c>
      <c r="B17" s="91">
        <v>43382</v>
      </c>
      <c r="C17" s="62" t="str">
        <f t="shared" si="0"/>
        <v>(화)</v>
      </c>
      <c r="D17" s="66"/>
      <c r="E17" s="67"/>
      <c r="F17" s="62" t="str">
        <f t="shared" si="1"/>
        <v/>
      </c>
      <c r="G17" s="66"/>
      <c r="H17" s="67"/>
      <c r="I17" s="62" t="str">
        <f t="shared" si="2"/>
        <v/>
      </c>
    </row>
    <row r="18" spans="1:10" ht="16.5">
      <c r="A18" s="90" t="s">
        <v>200</v>
      </c>
      <c r="B18" s="91">
        <v>43459</v>
      </c>
      <c r="C18" s="62" t="str">
        <f t="shared" si="0"/>
        <v>(화)</v>
      </c>
      <c r="D18" s="66"/>
      <c r="E18" s="67"/>
      <c r="F18" s="62" t="str">
        <f t="shared" si="1"/>
        <v/>
      </c>
      <c r="G18" s="66"/>
      <c r="H18" s="67"/>
      <c r="I18" s="62" t="str">
        <f t="shared" si="2"/>
        <v/>
      </c>
    </row>
    <row r="19" spans="1:10" ht="16.5">
      <c r="A19" s="90" t="s">
        <v>199</v>
      </c>
      <c r="B19" s="91">
        <v>43466</v>
      </c>
      <c r="C19" s="62" t="str">
        <f t="shared" si="0"/>
        <v>(화)</v>
      </c>
      <c r="D19" s="66"/>
      <c r="E19" s="67"/>
      <c r="F19" s="62" t="str">
        <f t="shared" si="1"/>
        <v/>
      </c>
      <c r="G19" s="66"/>
      <c r="H19" s="67"/>
      <c r="I19" s="62" t="str">
        <f t="shared" si="2"/>
        <v/>
      </c>
      <c r="J19" s="68"/>
    </row>
    <row r="20" spans="1:10" ht="16.5">
      <c r="A20" s="90" t="s">
        <v>205</v>
      </c>
      <c r="B20" s="91">
        <v>43500</v>
      </c>
      <c r="C20" s="62" t="str">
        <f t="shared" si="0"/>
        <v>(월)</v>
      </c>
      <c r="D20" s="66"/>
      <c r="E20" s="67"/>
      <c r="F20" s="62" t="str">
        <f t="shared" si="1"/>
        <v/>
      </c>
      <c r="G20" s="66"/>
      <c r="H20" s="67"/>
      <c r="I20" s="62" t="str">
        <f t="shared" si="2"/>
        <v/>
      </c>
      <c r="J20" s="68"/>
    </row>
    <row r="21" spans="1:10" ht="16.5">
      <c r="A21" s="90" t="s">
        <v>203</v>
      </c>
      <c r="B21" s="91">
        <v>43501</v>
      </c>
      <c r="C21" s="62" t="str">
        <f t="shared" si="0"/>
        <v>(화)</v>
      </c>
      <c r="D21" s="66"/>
      <c r="E21" s="67"/>
      <c r="F21" s="62" t="str">
        <f t="shared" si="1"/>
        <v/>
      </c>
      <c r="G21" s="66"/>
      <c r="H21" s="67"/>
      <c r="I21" s="62" t="str">
        <f t="shared" si="2"/>
        <v/>
      </c>
    </row>
    <row r="22" spans="1:10" ht="16.5">
      <c r="A22" s="90" t="s">
        <v>205</v>
      </c>
      <c r="B22" s="91">
        <v>43502</v>
      </c>
      <c r="C22" s="62" t="str">
        <f t="shared" si="0"/>
        <v>(수)</v>
      </c>
      <c r="D22" s="66"/>
      <c r="E22" s="67"/>
      <c r="F22" s="62" t="str">
        <f t="shared" si="1"/>
        <v/>
      </c>
      <c r="G22" s="66"/>
      <c r="H22" s="67"/>
      <c r="I22" s="62" t="str">
        <f t="shared" si="2"/>
        <v/>
      </c>
    </row>
    <row r="23" spans="1:10" ht="16.5">
      <c r="A23" s="90" t="s">
        <v>204</v>
      </c>
      <c r="B23" s="91">
        <v>43525</v>
      </c>
      <c r="C23" s="62" t="str">
        <f t="shared" si="0"/>
        <v>(금)</v>
      </c>
      <c r="D23" s="66"/>
      <c r="E23" s="67"/>
      <c r="F23" s="62" t="str">
        <f t="shared" si="1"/>
        <v/>
      </c>
      <c r="G23" s="66"/>
      <c r="H23" s="67"/>
      <c r="I23" s="62" t="str">
        <f t="shared" si="2"/>
        <v/>
      </c>
    </row>
    <row r="24" spans="1:10" ht="16.5">
      <c r="A24" s="90" t="s">
        <v>1221</v>
      </c>
      <c r="B24" s="91">
        <v>43591</v>
      </c>
      <c r="C24" s="62" t="str">
        <f t="shared" si="0"/>
        <v>(월)</v>
      </c>
      <c r="D24" s="66"/>
      <c r="E24" s="67"/>
      <c r="F24" s="62" t="str">
        <f t="shared" si="1"/>
        <v/>
      </c>
      <c r="G24" s="66"/>
      <c r="H24" s="67"/>
      <c r="I24" s="62" t="str">
        <f t="shared" si="2"/>
        <v/>
      </c>
    </row>
    <row r="25" spans="1:10" ht="16.5">
      <c r="A25" s="90" t="s">
        <v>207</v>
      </c>
      <c r="B25" s="91">
        <v>43622</v>
      </c>
      <c r="C25" s="62" t="str">
        <f t="shared" si="0"/>
        <v>(목)</v>
      </c>
      <c r="D25" s="66"/>
      <c r="E25" s="67"/>
      <c r="F25" s="62" t="str">
        <f t="shared" si="1"/>
        <v/>
      </c>
      <c r="G25" s="66"/>
      <c r="H25" s="67"/>
      <c r="I25" s="62" t="str">
        <f t="shared" si="2"/>
        <v/>
      </c>
    </row>
    <row r="26" spans="1:10" ht="16.5">
      <c r="A26" s="90" t="s">
        <v>206</v>
      </c>
      <c r="B26" s="91">
        <v>43692</v>
      </c>
      <c r="C26" s="62" t="str">
        <f t="shared" si="0"/>
        <v>(목)</v>
      </c>
      <c r="D26" s="66"/>
      <c r="E26" s="67"/>
      <c r="F26" s="62" t="str">
        <f t="shared" si="1"/>
        <v/>
      </c>
      <c r="G26" s="66"/>
      <c r="H26" s="67"/>
      <c r="I26" s="62" t="str">
        <f t="shared" si="2"/>
        <v/>
      </c>
    </row>
    <row r="27" spans="1:10" ht="16.5">
      <c r="A27" s="90" t="s">
        <v>208</v>
      </c>
      <c r="B27" s="91">
        <v>43720</v>
      </c>
      <c r="C27" s="62" t="str">
        <f t="shared" si="0"/>
        <v>(목)</v>
      </c>
      <c r="D27" s="66"/>
      <c r="E27" s="67"/>
      <c r="F27" s="62" t="str">
        <f t="shared" si="1"/>
        <v/>
      </c>
      <c r="G27" s="66"/>
      <c r="H27" s="67"/>
      <c r="I27" s="62" t="str">
        <f t="shared" si="2"/>
        <v/>
      </c>
    </row>
    <row r="28" spans="1:10" ht="16.5">
      <c r="A28" s="90" t="s">
        <v>209</v>
      </c>
      <c r="B28" s="91">
        <v>43721</v>
      </c>
      <c r="C28" s="62" t="str">
        <f t="shared" si="0"/>
        <v>(금)</v>
      </c>
      <c r="D28" s="66"/>
      <c r="E28" s="67"/>
      <c r="F28" s="62" t="str">
        <f t="shared" si="1"/>
        <v/>
      </c>
      <c r="G28" s="66"/>
      <c r="H28" s="67"/>
      <c r="I28" s="62" t="str">
        <f t="shared" si="2"/>
        <v/>
      </c>
    </row>
    <row r="29" spans="1:10" ht="16.5">
      <c r="A29" s="90" t="s">
        <v>212</v>
      </c>
      <c r="B29" s="91">
        <v>43741</v>
      </c>
      <c r="C29" s="62" t="str">
        <f t="shared" si="0"/>
        <v>(목)</v>
      </c>
      <c r="D29" s="66"/>
      <c r="E29" s="67"/>
      <c r="F29" s="62" t="str">
        <f t="shared" si="1"/>
        <v/>
      </c>
      <c r="G29" s="66"/>
      <c r="H29" s="67"/>
      <c r="I29" s="62" t="str">
        <f t="shared" si="2"/>
        <v/>
      </c>
    </row>
    <row r="30" spans="1:10" ht="16.5">
      <c r="A30" s="90" t="s">
        <v>211</v>
      </c>
      <c r="B30" s="91">
        <v>43747</v>
      </c>
      <c r="C30" s="62" t="str">
        <f t="shared" si="0"/>
        <v>(수)</v>
      </c>
      <c r="D30" s="66"/>
      <c r="E30" s="67"/>
      <c r="F30" s="62" t="str">
        <f t="shared" si="1"/>
        <v/>
      </c>
      <c r="G30" s="66"/>
      <c r="H30" s="67"/>
      <c r="I30" s="62" t="str">
        <f t="shared" si="2"/>
        <v/>
      </c>
    </row>
    <row r="31" spans="1:10" ht="16.5">
      <c r="A31" s="90" t="s">
        <v>210</v>
      </c>
      <c r="B31" s="91">
        <v>43824</v>
      </c>
      <c r="C31" s="62" t="str">
        <f t="shared" si="0"/>
        <v>(수)</v>
      </c>
      <c r="D31" s="66"/>
      <c r="E31" s="67"/>
      <c r="F31" s="62" t="str">
        <f t="shared" si="1"/>
        <v/>
      </c>
      <c r="G31" s="66"/>
      <c r="H31" s="67"/>
      <c r="I31" s="62" t="str">
        <f t="shared" si="2"/>
        <v/>
      </c>
    </row>
    <row r="32" spans="1:10">
      <c r="A32" s="90"/>
      <c r="B32" s="91"/>
      <c r="C32" s="62" t="str">
        <f t="shared" si="0"/>
        <v/>
      </c>
      <c r="D32" s="66"/>
      <c r="E32" s="67"/>
      <c r="F32" s="62" t="str">
        <f t="shared" si="1"/>
        <v/>
      </c>
      <c r="G32" s="66"/>
      <c r="H32" s="67"/>
      <c r="I32" s="62" t="str">
        <f t="shared" si="2"/>
        <v/>
      </c>
    </row>
    <row r="33" spans="1:9">
      <c r="A33" s="90"/>
      <c r="B33" s="91"/>
      <c r="C33" s="62" t="str">
        <f t="shared" si="0"/>
        <v/>
      </c>
      <c r="D33" s="66"/>
      <c r="E33" s="67"/>
      <c r="F33" s="62" t="str">
        <f t="shared" si="1"/>
        <v/>
      </c>
      <c r="G33" s="66"/>
      <c r="H33" s="67"/>
      <c r="I33" s="62" t="str">
        <f t="shared" si="2"/>
        <v/>
      </c>
    </row>
    <row r="34" spans="1:9">
      <c r="A34" s="90"/>
      <c r="B34" s="91"/>
      <c r="C34" s="62" t="str">
        <f t="shared" si="0"/>
        <v/>
      </c>
      <c r="D34" s="66"/>
      <c r="E34" s="67"/>
      <c r="F34" s="62" t="str">
        <f t="shared" si="1"/>
        <v/>
      </c>
      <c r="G34" s="66"/>
      <c r="H34" s="67"/>
      <c r="I34" s="62" t="str">
        <f t="shared" si="2"/>
        <v/>
      </c>
    </row>
    <row r="35" spans="1:9">
      <c r="A35" s="90"/>
      <c r="B35" s="91"/>
      <c r="C35" s="62" t="str">
        <f t="shared" si="0"/>
        <v/>
      </c>
      <c r="D35" s="66"/>
      <c r="E35" s="67"/>
      <c r="F35" s="62" t="str">
        <f t="shared" si="1"/>
        <v/>
      </c>
      <c r="G35" s="66"/>
      <c r="H35" s="67"/>
      <c r="I35" s="62" t="str">
        <f t="shared" si="2"/>
        <v/>
      </c>
    </row>
    <row r="36" spans="1:9">
      <c r="A36" s="90"/>
      <c r="B36" s="91"/>
      <c r="C36" s="62" t="str">
        <f t="shared" si="0"/>
        <v/>
      </c>
      <c r="D36" s="66"/>
      <c r="E36" s="67"/>
      <c r="F36" s="62" t="str">
        <f t="shared" si="1"/>
        <v/>
      </c>
      <c r="G36" s="66"/>
      <c r="H36" s="67"/>
      <c r="I36" s="62" t="str">
        <f t="shared" si="2"/>
        <v/>
      </c>
    </row>
    <row r="37" spans="1:9">
      <c r="A37" s="90"/>
      <c r="B37" s="91"/>
      <c r="C37" s="62" t="str">
        <f t="shared" si="0"/>
        <v/>
      </c>
      <c r="D37" s="66"/>
      <c r="E37" s="67"/>
      <c r="F37" s="62" t="str">
        <f t="shared" si="1"/>
        <v/>
      </c>
      <c r="G37" s="66"/>
      <c r="H37" s="67"/>
      <c r="I37" s="62" t="str">
        <f t="shared" si="2"/>
        <v/>
      </c>
    </row>
    <row r="38" spans="1:9">
      <c r="A38" s="90"/>
      <c r="B38" s="91"/>
      <c r="C38" s="62" t="str">
        <f t="shared" si="0"/>
        <v/>
      </c>
      <c r="D38" s="66"/>
      <c r="E38" s="67"/>
      <c r="F38" s="62" t="str">
        <f t="shared" si="1"/>
        <v/>
      </c>
      <c r="G38" s="66"/>
      <c r="H38" s="67"/>
      <c r="I38" s="62" t="str">
        <f t="shared" si="2"/>
        <v/>
      </c>
    </row>
    <row r="39" spans="1:9">
      <c r="A39" s="90"/>
      <c r="B39" s="91"/>
      <c r="C39" s="62" t="str">
        <f t="shared" si="0"/>
        <v/>
      </c>
      <c r="D39" s="66"/>
      <c r="E39" s="67"/>
      <c r="F39" s="62" t="str">
        <f t="shared" si="1"/>
        <v/>
      </c>
      <c r="G39" s="66"/>
      <c r="H39" s="67"/>
      <c r="I39" s="62" t="str">
        <f t="shared" si="2"/>
        <v/>
      </c>
    </row>
    <row r="40" spans="1:9">
      <c r="A40" s="90"/>
      <c r="B40" s="91"/>
      <c r="C40" s="62" t="str">
        <f t="shared" si="0"/>
        <v/>
      </c>
      <c r="D40" s="66"/>
      <c r="E40" s="67"/>
      <c r="F40" s="62" t="str">
        <f t="shared" si="1"/>
        <v/>
      </c>
      <c r="G40" s="66"/>
      <c r="H40" s="67"/>
      <c r="I40" s="62" t="str">
        <f t="shared" si="2"/>
        <v/>
      </c>
    </row>
    <row r="41" spans="1:9">
      <c r="A41" s="90"/>
      <c r="B41" s="91"/>
      <c r="C41" s="62" t="str">
        <f t="shared" si="0"/>
        <v/>
      </c>
      <c r="D41" s="66"/>
      <c r="E41" s="67"/>
      <c r="F41" s="62" t="str">
        <f t="shared" si="1"/>
        <v/>
      </c>
      <c r="G41" s="66"/>
      <c r="H41" s="67"/>
      <c r="I41" s="62" t="str">
        <f t="shared" si="2"/>
        <v/>
      </c>
    </row>
    <row r="42" spans="1:9">
      <c r="A42" s="90"/>
      <c r="B42" s="91"/>
      <c r="C42" s="62" t="str">
        <f t="shared" si="0"/>
        <v/>
      </c>
      <c r="D42" s="66"/>
      <c r="E42" s="67"/>
      <c r="F42" s="62" t="str">
        <f t="shared" si="1"/>
        <v/>
      </c>
      <c r="G42" s="66"/>
      <c r="H42" s="67"/>
      <c r="I42" s="62" t="str">
        <f t="shared" si="2"/>
        <v/>
      </c>
    </row>
    <row r="43" spans="1:9">
      <c r="A43" s="90"/>
      <c r="B43" s="91"/>
      <c r="C43" s="62" t="str">
        <f t="shared" si="0"/>
        <v/>
      </c>
      <c r="D43" s="66"/>
      <c r="E43" s="67"/>
      <c r="F43" s="62" t="str">
        <f t="shared" si="1"/>
        <v/>
      </c>
      <c r="G43" s="66"/>
      <c r="H43" s="67"/>
      <c r="I43" s="62" t="str">
        <f t="shared" si="2"/>
        <v/>
      </c>
    </row>
    <row r="44" spans="1:9">
      <c r="A44" s="90"/>
      <c r="B44" s="91"/>
      <c r="C44" s="62" t="str">
        <f t="shared" si="0"/>
        <v/>
      </c>
      <c r="D44" s="66"/>
      <c r="E44" s="67"/>
      <c r="F44" s="62" t="str">
        <f t="shared" si="1"/>
        <v/>
      </c>
      <c r="G44" s="66"/>
      <c r="H44" s="67"/>
      <c r="I44" s="62" t="str">
        <f t="shared" si="2"/>
        <v/>
      </c>
    </row>
    <row r="45" spans="1:9">
      <c r="A45" s="90"/>
      <c r="B45" s="91"/>
      <c r="C45" s="62" t="str">
        <f t="shared" si="0"/>
        <v/>
      </c>
      <c r="D45" s="66"/>
      <c r="E45" s="67"/>
      <c r="F45" s="62" t="str">
        <f t="shared" si="1"/>
        <v/>
      </c>
      <c r="G45" s="66"/>
      <c r="H45" s="67"/>
      <c r="I45" s="62" t="str">
        <f t="shared" si="2"/>
        <v/>
      </c>
    </row>
    <row r="46" spans="1:9">
      <c r="A46" s="90"/>
      <c r="B46" s="91"/>
      <c r="C46" s="62" t="str">
        <f t="shared" si="0"/>
        <v/>
      </c>
      <c r="D46" s="66"/>
      <c r="E46" s="67"/>
      <c r="F46" s="62" t="str">
        <f t="shared" si="1"/>
        <v/>
      </c>
      <c r="G46" s="66"/>
      <c r="H46" s="67"/>
      <c r="I46" s="62" t="str">
        <f t="shared" si="2"/>
        <v/>
      </c>
    </row>
    <row r="47" spans="1:9">
      <c r="A47" s="90"/>
      <c r="B47" s="91"/>
      <c r="C47" s="62" t="str">
        <f t="shared" si="0"/>
        <v/>
      </c>
      <c r="D47" s="66"/>
      <c r="E47" s="67"/>
      <c r="F47" s="62" t="str">
        <f t="shared" si="1"/>
        <v/>
      </c>
      <c r="G47" s="66"/>
      <c r="H47" s="67"/>
      <c r="I47" s="62" t="str">
        <f t="shared" si="2"/>
        <v/>
      </c>
    </row>
    <row r="48" spans="1:9">
      <c r="A48" s="90"/>
      <c r="B48" s="91"/>
      <c r="C48" s="62" t="str">
        <f t="shared" si="0"/>
        <v/>
      </c>
      <c r="D48" s="66"/>
      <c r="E48" s="67"/>
      <c r="F48" s="62" t="str">
        <f t="shared" si="1"/>
        <v/>
      </c>
      <c r="G48" s="66"/>
      <c r="H48" s="67"/>
      <c r="I48" s="62" t="str">
        <f t="shared" si="2"/>
        <v/>
      </c>
    </row>
    <row r="49" spans="1:9">
      <c r="A49" s="90"/>
      <c r="B49" s="91"/>
      <c r="C49" s="62" t="str">
        <f t="shared" si="0"/>
        <v/>
      </c>
      <c r="D49" s="66"/>
      <c r="E49" s="67"/>
      <c r="F49" s="62" t="str">
        <f t="shared" si="1"/>
        <v/>
      </c>
      <c r="G49" s="66"/>
      <c r="H49" s="67"/>
      <c r="I49" s="62" t="str">
        <f t="shared" si="2"/>
        <v/>
      </c>
    </row>
    <row r="50" spans="1:9">
      <c r="A50" s="90"/>
      <c r="B50" s="91"/>
      <c r="C50" s="62" t="str">
        <f t="shared" si="0"/>
        <v/>
      </c>
      <c r="D50" s="66"/>
      <c r="E50" s="67"/>
      <c r="F50" s="62" t="str">
        <f t="shared" si="1"/>
        <v/>
      </c>
      <c r="G50" s="66"/>
      <c r="H50" s="67"/>
      <c r="I50" s="62" t="str">
        <f t="shared" si="2"/>
        <v/>
      </c>
    </row>
    <row r="51" spans="1:9">
      <c r="A51" s="90"/>
      <c r="B51" s="91"/>
      <c r="C51" s="62" t="str">
        <f t="shared" si="0"/>
        <v/>
      </c>
      <c r="D51" s="66"/>
      <c r="E51" s="67"/>
      <c r="F51" s="62" t="str">
        <f t="shared" si="1"/>
        <v/>
      </c>
      <c r="G51" s="66"/>
      <c r="H51" s="67"/>
      <c r="I51" s="62" t="str">
        <f t="shared" si="2"/>
        <v/>
      </c>
    </row>
    <row r="52" spans="1:9">
      <c r="A52" s="90"/>
      <c r="B52" s="91"/>
      <c r="C52" s="62" t="str">
        <f t="shared" si="0"/>
        <v/>
      </c>
      <c r="D52" s="66"/>
      <c r="E52" s="67"/>
      <c r="F52" s="62" t="str">
        <f t="shared" si="1"/>
        <v/>
      </c>
      <c r="G52" s="66"/>
      <c r="H52" s="67"/>
      <c r="I52" s="62" t="str">
        <f t="shared" si="2"/>
        <v/>
      </c>
    </row>
    <row r="53" spans="1:9">
      <c r="A53" s="90"/>
      <c r="B53" s="91"/>
      <c r="C53" s="62" t="str">
        <f t="shared" si="0"/>
        <v/>
      </c>
      <c r="D53" s="66"/>
      <c r="E53" s="67"/>
      <c r="F53" s="62" t="str">
        <f t="shared" si="1"/>
        <v/>
      </c>
      <c r="G53" s="66"/>
      <c r="H53" s="67"/>
      <c r="I53" s="62" t="str">
        <f t="shared" si="2"/>
        <v/>
      </c>
    </row>
    <row r="54" spans="1:9">
      <c r="A54" s="90"/>
      <c r="B54" s="91"/>
      <c r="C54" s="62" t="str">
        <f t="shared" si="0"/>
        <v/>
      </c>
      <c r="D54" s="66"/>
      <c r="E54" s="67"/>
      <c r="F54" s="62" t="str">
        <f t="shared" si="1"/>
        <v/>
      </c>
      <c r="G54" s="66"/>
      <c r="H54" s="67"/>
      <c r="I54" s="62" t="str">
        <f t="shared" si="2"/>
        <v/>
      </c>
    </row>
    <row r="55" spans="1:9">
      <c r="A55" s="90"/>
      <c r="B55" s="91"/>
      <c r="C55" s="62" t="str">
        <f t="shared" si="0"/>
        <v/>
      </c>
      <c r="D55" s="66"/>
      <c r="E55" s="67"/>
      <c r="F55" s="62" t="str">
        <f t="shared" si="1"/>
        <v/>
      </c>
      <c r="G55" s="66"/>
      <c r="H55" s="67"/>
      <c r="I55" s="62" t="str">
        <f t="shared" si="2"/>
        <v/>
      </c>
    </row>
    <row r="56" spans="1:9">
      <c r="A56" s="90"/>
      <c r="B56" s="91"/>
      <c r="C56" s="62" t="str">
        <f t="shared" si="0"/>
        <v/>
      </c>
      <c r="D56" s="66"/>
      <c r="E56" s="67"/>
      <c r="F56" s="62" t="str">
        <f t="shared" si="1"/>
        <v/>
      </c>
      <c r="G56" s="66"/>
      <c r="H56" s="67"/>
      <c r="I56" s="62" t="str">
        <f t="shared" si="2"/>
        <v/>
      </c>
    </row>
    <row r="57" spans="1:9">
      <c r="A57" s="90"/>
      <c r="B57" s="91"/>
      <c r="C57" s="62" t="str">
        <f t="shared" si="0"/>
        <v/>
      </c>
      <c r="D57" s="66"/>
      <c r="E57" s="67"/>
      <c r="F57" s="62" t="str">
        <f t="shared" si="1"/>
        <v/>
      </c>
      <c r="G57" s="66"/>
      <c r="H57" s="67"/>
      <c r="I57" s="62" t="str">
        <f t="shared" si="2"/>
        <v/>
      </c>
    </row>
    <row r="58" spans="1:9">
      <c r="A58" s="90"/>
      <c r="B58" s="91"/>
      <c r="C58" s="62" t="str">
        <f t="shared" si="0"/>
        <v/>
      </c>
      <c r="D58" s="66"/>
      <c r="E58" s="67"/>
      <c r="F58" s="62" t="str">
        <f t="shared" si="1"/>
        <v/>
      </c>
      <c r="G58" s="66"/>
      <c r="H58" s="67"/>
      <c r="I58" s="62" t="str">
        <f t="shared" si="2"/>
        <v/>
      </c>
    </row>
    <row r="59" spans="1:9">
      <c r="A59" s="90"/>
      <c r="B59" s="91"/>
      <c r="C59" s="62" t="str">
        <f t="shared" si="0"/>
        <v/>
      </c>
      <c r="D59" s="66"/>
      <c r="E59" s="67"/>
      <c r="F59" s="62" t="str">
        <f t="shared" si="1"/>
        <v/>
      </c>
      <c r="G59" s="66"/>
      <c r="H59" s="67"/>
      <c r="I59" s="62" t="str">
        <f t="shared" si="2"/>
        <v/>
      </c>
    </row>
    <row r="60" spans="1:9">
      <c r="A60" s="90"/>
      <c r="B60" s="91"/>
      <c r="C60" s="62" t="str">
        <f t="shared" si="0"/>
        <v/>
      </c>
      <c r="D60" s="66"/>
      <c r="E60" s="67"/>
      <c r="F60" s="62" t="str">
        <f t="shared" si="1"/>
        <v/>
      </c>
      <c r="G60" s="66"/>
      <c r="H60" s="67"/>
      <c r="I60" s="62" t="str">
        <f t="shared" si="2"/>
        <v/>
      </c>
    </row>
    <row r="61" spans="1:9">
      <c r="A61" s="90"/>
      <c r="B61" s="91"/>
      <c r="C61" s="62" t="str">
        <f t="shared" si="0"/>
        <v/>
      </c>
      <c r="D61" s="66"/>
      <c r="E61" s="67"/>
      <c r="F61" s="62" t="str">
        <f t="shared" si="1"/>
        <v/>
      </c>
      <c r="G61" s="66"/>
      <c r="H61" s="67"/>
      <c r="I61" s="62" t="str">
        <f t="shared" si="2"/>
        <v/>
      </c>
    </row>
    <row r="62" spans="1:9">
      <c r="A62" s="90"/>
      <c r="B62" s="91"/>
      <c r="C62" s="62" t="str">
        <f t="shared" si="0"/>
        <v/>
      </c>
      <c r="D62" s="66"/>
      <c r="E62" s="67"/>
      <c r="F62" s="62" t="str">
        <f t="shared" si="1"/>
        <v/>
      </c>
      <c r="G62" s="66"/>
      <c r="H62" s="67"/>
      <c r="I62" s="62" t="str">
        <f t="shared" si="2"/>
        <v/>
      </c>
    </row>
    <row r="63" spans="1:9">
      <c r="A63" s="90"/>
      <c r="B63" s="91"/>
      <c r="C63" s="62" t="str">
        <f t="shared" si="0"/>
        <v/>
      </c>
      <c r="D63" s="66"/>
      <c r="E63" s="67"/>
      <c r="F63" s="62" t="str">
        <f t="shared" si="1"/>
        <v/>
      </c>
      <c r="G63" s="66"/>
      <c r="H63" s="67"/>
      <c r="I63" s="62" t="str">
        <f t="shared" si="2"/>
        <v/>
      </c>
    </row>
    <row r="64" spans="1:9">
      <c r="A64" s="90"/>
      <c r="B64" s="91"/>
      <c r="C64" s="62" t="str">
        <f t="shared" si="0"/>
        <v/>
      </c>
      <c r="D64" s="66"/>
      <c r="E64" s="67"/>
      <c r="F64" s="62" t="str">
        <f t="shared" si="1"/>
        <v/>
      </c>
      <c r="G64" s="66"/>
      <c r="H64" s="67"/>
      <c r="I64" s="62" t="str">
        <f t="shared" si="2"/>
        <v/>
      </c>
    </row>
    <row r="65" spans="1:9">
      <c r="A65" s="90"/>
      <c r="B65" s="91"/>
      <c r="C65" s="62" t="str">
        <f t="shared" si="0"/>
        <v/>
      </c>
      <c r="D65" s="66"/>
      <c r="E65" s="67"/>
      <c r="F65" s="62" t="str">
        <f t="shared" si="1"/>
        <v/>
      </c>
      <c r="G65" s="66"/>
      <c r="H65" s="67"/>
      <c r="I65" s="62" t="str">
        <f t="shared" si="2"/>
        <v/>
      </c>
    </row>
    <row r="66" spans="1:9">
      <c r="A66" s="90"/>
      <c r="B66" s="91"/>
      <c r="C66" s="62" t="str">
        <f t="shared" si="0"/>
        <v/>
      </c>
      <c r="D66" s="66"/>
      <c r="E66" s="67"/>
      <c r="F66" s="62" t="str">
        <f t="shared" si="1"/>
        <v/>
      </c>
      <c r="G66" s="66"/>
      <c r="H66" s="67"/>
      <c r="I66" s="62" t="str">
        <f t="shared" si="2"/>
        <v/>
      </c>
    </row>
    <row r="67" spans="1:9">
      <c r="A67" s="90"/>
      <c r="B67" s="91"/>
      <c r="C67" s="62" t="str">
        <f t="shared" si="0"/>
        <v/>
      </c>
      <c r="D67" s="66"/>
      <c r="E67" s="67"/>
      <c r="F67" s="62" t="str">
        <f t="shared" si="1"/>
        <v/>
      </c>
      <c r="G67" s="66"/>
      <c r="H67" s="67"/>
      <c r="I67" s="62" t="str">
        <f t="shared" si="2"/>
        <v/>
      </c>
    </row>
    <row r="68" spans="1:9">
      <c r="A68" s="90"/>
      <c r="B68" s="91"/>
      <c r="C68" s="62" t="str">
        <f t="shared" si="0"/>
        <v/>
      </c>
      <c r="D68" s="66"/>
      <c r="E68" s="67"/>
      <c r="F68" s="62" t="str">
        <f t="shared" si="1"/>
        <v/>
      </c>
      <c r="G68" s="66"/>
      <c r="H68" s="67"/>
      <c r="I68" s="62" t="str">
        <f t="shared" si="2"/>
        <v/>
      </c>
    </row>
    <row r="69" spans="1:9">
      <c r="A69" s="90"/>
      <c r="B69" s="91"/>
      <c r="C69" s="62" t="str">
        <f t="shared" ref="C69:C132" si="3">IF(B69&gt;0,TEXT(B69,"(aaa)"),"")</f>
        <v/>
      </c>
      <c r="D69" s="66"/>
      <c r="E69" s="67"/>
      <c r="F69" s="62" t="str">
        <f t="shared" ref="F69:F132" si="4">IF(E69&gt;0,TEXT(E69,"(aaa)"),"")</f>
        <v/>
      </c>
      <c r="G69" s="66"/>
      <c r="H69" s="67"/>
      <c r="I69" s="62" t="str">
        <f t="shared" ref="I69:I132" si="5">IF(H69&gt;0,TEXT(H69,"(aaa)"),"")</f>
        <v/>
      </c>
    </row>
    <row r="70" spans="1:9">
      <c r="A70" s="90"/>
      <c r="B70" s="91"/>
      <c r="C70" s="62" t="str">
        <f t="shared" si="3"/>
        <v/>
      </c>
      <c r="D70" s="66"/>
      <c r="E70" s="67"/>
      <c r="F70" s="62" t="str">
        <f t="shared" si="4"/>
        <v/>
      </c>
      <c r="G70" s="66"/>
      <c r="H70" s="67"/>
      <c r="I70" s="62" t="str">
        <f t="shared" si="5"/>
        <v/>
      </c>
    </row>
    <row r="71" spans="1:9">
      <c r="A71" s="90"/>
      <c r="B71" s="91"/>
      <c r="C71" s="62" t="str">
        <f t="shared" si="3"/>
        <v/>
      </c>
      <c r="D71" s="66"/>
      <c r="E71" s="67"/>
      <c r="F71" s="62" t="str">
        <f t="shared" si="4"/>
        <v/>
      </c>
      <c r="G71" s="66"/>
      <c r="H71" s="67"/>
      <c r="I71" s="62" t="str">
        <f t="shared" si="5"/>
        <v/>
      </c>
    </row>
    <row r="72" spans="1:9">
      <c r="A72" s="90"/>
      <c r="B72" s="91"/>
      <c r="C72" s="62" t="str">
        <f t="shared" si="3"/>
        <v/>
      </c>
      <c r="D72" s="66"/>
      <c r="E72" s="67"/>
      <c r="F72" s="62" t="str">
        <f t="shared" si="4"/>
        <v/>
      </c>
      <c r="G72" s="66"/>
      <c r="H72" s="67"/>
      <c r="I72" s="62" t="str">
        <f t="shared" si="5"/>
        <v/>
      </c>
    </row>
    <row r="73" spans="1:9">
      <c r="A73" s="90"/>
      <c r="B73" s="91"/>
      <c r="C73" s="62" t="str">
        <f t="shared" si="3"/>
        <v/>
      </c>
      <c r="D73" s="66"/>
      <c r="E73" s="67"/>
      <c r="F73" s="62" t="str">
        <f t="shared" si="4"/>
        <v/>
      </c>
      <c r="G73" s="66"/>
      <c r="H73" s="67"/>
      <c r="I73" s="62" t="str">
        <f t="shared" si="5"/>
        <v/>
      </c>
    </row>
    <row r="74" spans="1:9">
      <c r="A74" s="90"/>
      <c r="B74" s="91"/>
      <c r="C74" s="62" t="str">
        <f t="shared" si="3"/>
        <v/>
      </c>
      <c r="D74" s="66"/>
      <c r="E74" s="67"/>
      <c r="F74" s="62" t="str">
        <f t="shared" si="4"/>
        <v/>
      </c>
      <c r="G74" s="66"/>
      <c r="H74" s="67"/>
      <c r="I74" s="62" t="str">
        <f t="shared" si="5"/>
        <v/>
      </c>
    </row>
    <row r="75" spans="1:9">
      <c r="A75" s="90"/>
      <c r="B75" s="91"/>
      <c r="C75" s="62" t="str">
        <f t="shared" si="3"/>
        <v/>
      </c>
      <c r="D75" s="66"/>
      <c r="E75" s="67"/>
      <c r="F75" s="62" t="str">
        <f t="shared" si="4"/>
        <v/>
      </c>
      <c r="G75" s="66"/>
      <c r="H75" s="67"/>
      <c r="I75" s="62" t="str">
        <f t="shared" si="5"/>
        <v/>
      </c>
    </row>
    <row r="76" spans="1:9">
      <c r="A76" s="90"/>
      <c r="B76" s="91"/>
      <c r="C76" s="62" t="str">
        <f t="shared" si="3"/>
        <v/>
      </c>
      <c r="D76" s="66"/>
      <c r="E76" s="67"/>
      <c r="F76" s="62" t="str">
        <f t="shared" si="4"/>
        <v/>
      </c>
      <c r="G76" s="66"/>
      <c r="H76" s="67"/>
      <c r="I76" s="62" t="str">
        <f t="shared" si="5"/>
        <v/>
      </c>
    </row>
    <row r="77" spans="1:9">
      <c r="A77" s="90"/>
      <c r="B77" s="91"/>
      <c r="C77" s="62" t="str">
        <f t="shared" si="3"/>
        <v/>
      </c>
      <c r="D77" s="66"/>
      <c r="E77" s="67"/>
      <c r="F77" s="62" t="str">
        <f t="shared" si="4"/>
        <v/>
      </c>
      <c r="G77" s="66"/>
      <c r="H77" s="67"/>
      <c r="I77" s="62" t="str">
        <f t="shared" si="5"/>
        <v/>
      </c>
    </row>
    <row r="78" spans="1:9">
      <c r="A78" s="90"/>
      <c r="B78" s="91"/>
      <c r="C78" s="62" t="str">
        <f t="shared" si="3"/>
        <v/>
      </c>
      <c r="D78" s="66"/>
      <c r="E78" s="67"/>
      <c r="F78" s="62" t="str">
        <f t="shared" si="4"/>
        <v/>
      </c>
      <c r="G78" s="66"/>
      <c r="H78" s="67"/>
      <c r="I78" s="62" t="str">
        <f t="shared" si="5"/>
        <v/>
      </c>
    </row>
    <row r="79" spans="1:9">
      <c r="A79" s="90"/>
      <c r="B79" s="91"/>
      <c r="C79" s="62" t="str">
        <f t="shared" si="3"/>
        <v/>
      </c>
      <c r="D79" s="66"/>
      <c r="E79" s="67"/>
      <c r="F79" s="62" t="str">
        <f t="shared" si="4"/>
        <v/>
      </c>
      <c r="G79" s="66"/>
      <c r="H79" s="67"/>
      <c r="I79" s="62" t="str">
        <f t="shared" si="5"/>
        <v/>
      </c>
    </row>
    <row r="80" spans="1:9">
      <c r="A80" s="90"/>
      <c r="B80" s="91"/>
      <c r="C80" s="62" t="str">
        <f t="shared" si="3"/>
        <v/>
      </c>
      <c r="D80" s="66"/>
      <c r="E80" s="67"/>
      <c r="F80" s="62" t="str">
        <f t="shared" si="4"/>
        <v/>
      </c>
      <c r="G80" s="66"/>
      <c r="H80" s="67"/>
      <c r="I80" s="62" t="str">
        <f t="shared" si="5"/>
        <v/>
      </c>
    </row>
    <row r="81" spans="1:9">
      <c r="A81" s="90"/>
      <c r="B81" s="91"/>
      <c r="C81" s="62" t="str">
        <f t="shared" si="3"/>
        <v/>
      </c>
      <c r="D81" s="66"/>
      <c r="E81" s="67"/>
      <c r="F81" s="62" t="str">
        <f t="shared" si="4"/>
        <v/>
      </c>
      <c r="G81" s="66"/>
      <c r="H81" s="67"/>
      <c r="I81" s="62" t="str">
        <f t="shared" si="5"/>
        <v/>
      </c>
    </row>
    <row r="82" spans="1:9">
      <c r="A82" s="90"/>
      <c r="B82" s="91"/>
      <c r="C82" s="62" t="str">
        <f t="shared" si="3"/>
        <v/>
      </c>
      <c r="D82" s="66"/>
      <c r="E82" s="67"/>
      <c r="F82" s="62" t="str">
        <f t="shared" si="4"/>
        <v/>
      </c>
      <c r="G82" s="66"/>
      <c r="H82" s="67"/>
      <c r="I82" s="62" t="str">
        <f t="shared" si="5"/>
        <v/>
      </c>
    </row>
    <row r="83" spans="1:9">
      <c r="A83" s="90"/>
      <c r="B83" s="91"/>
      <c r="C83" s="62" t="str">
        <f t="shared" si="3"/>
        <v/>
      </c>
      <c r="D83" s="66"/>
      <c r="E83" s="67"/>
      <c r="F83" s="62" t="str">
        <f t="shared" si="4"/>
        <v/>
      </c>
      <c r="G83" s="66"/>
      <c r="H83" s="67"/>
      <c r="I83" s="62" t="str">
        <f t="shared" si="5"/>
        <v/>
      </c>
    </row>
    <row r="84" spans="1:9">
      <c r="A84" s="90"/>
      <c r="B84" s="91"/>
      <c r="C84" s="62" t="str">
        <f t="shared" si="3"/>
        <v/>
      </c>
      <c r="D84" s="66"/>
      <c r="E84" s="67"/>
      <c r="F84" s="62" t="str">
        <f t="shared" si="4"/>
        <v/>
      </c>
      <c r="G84" s="66"/>
      <c r="H84" s="67"/>
      <c r="I84" s="62" t="str">
        <f t="shared" si="5"/>
        <v/>
      </c>
    </row>
    <row r="85" spans="1:9">
      <c r="A85" s="90"/>
      <c r="B85" s="91"/>
      <c r="C85" s="62" t="str">
        <f t="shared" si="3"/>
        <v/>
      </c>
      <c r="D85" s="66"/>
      <c r="E85" s="67"/>
      <c r="F85" s="62" t="str">
        <f t="shared" si="4"/>
        <v/>
      </c>
      <c r="G85" s="66"/>
      <c r="H85" s="67"/>
      <c r="I85" s="62" t="str">
        <f t="shared" si="5"/>
        <v/>
      </c>
    </row>
    <row r="86" spans="1:9">
      <c r="A86" s="90"/>
      <c r="B86" s="91"/>
      <c r="C86" s="62" t="str">
        <f t="shared" si="3"/>
        <v/>
      </c>
      <c r="D86" s="66"/>
      <c r="E86" s="67"/>
      <c r="F86" s="62" t="str">
        <f t="shared" si="4"/>
        <v/>
      </c>
      <c r="G86" s="66"/>
      <c r="H86" s="67"/>
      <c r="I86" s="62" t="str">
        <f t="shared" si="5"/>
        <v/>
      </c>
    </row>
    <row r="87" spans="1:9">
      <c r="A87" s="90"/>
      <c r="B87" s="91"/>
      <c r="C87" s="62" t="str">
        <f t="shared" si="3"/>
        <v/>
      </c>
      <c r="D87" s="66"/>
      <c r="E87" s="67"/>
      <c r="F87" s="62" t="str">
        <f t="shared" si="4"/>
        <v/>
      </c>
      <c r="G87" s="66"/>
      <c r="H87" s="67"/>
      <c r="I87" s="62" t="str">
        <f t="shared" si="5"/>
        <v/>
      </c>
    </row>
    <row r="88" spans="1:9">
      <c r="A88" s="90"/>
      <c r="B88" s="91"/>
      <c r="C88" s="62" t="str">
        <f t="shared" si="3"/>
        <v/>
      </c>
      <c r="D88" s="66"/>
      <c r="E88" s="67"/>
      <c r="F88" s="62" t="str">
        <f t="shared" si="4"/>
        <v/>
      </c>
      <c r="G88" s="66"/>
      <c r="H88" s="67"/>
      <c r="I88" s="62" t="str">
        <f t="shared" si="5"/>
        <v/>
      </c>
    </row>
    <row r="89" spans="1:9">
      <c r="A89" s="90"/>
      <c r="B89" s="91"/>
      <c r="C89" s="62" t="str">
        <f t="shared" si="3"/>
        <v/>
      </c>
      <c r="D89" s="66"/>
      <c r="E89" s="67"/>
      <c r="F89" s="62" t="str">
        <f t="shared" si="4"/>
        <v/>
      </c>
      <c r="G89" s="66"/>
      <c r="H89" s="67"/>
      <c r="I89" s="62" t="str">
        <f t="shared" si="5"/>
        <v/>
      </c>
    </row>
    <row r="90" spans="1:9">
      <c r="A90" s="90"/>
      <c r="B90" s="91"/>
      <c r="C90" s="62" t="str">
        <f t="shared" si="3"/>
        <v/>
      </c>
      <c r="D90" s="66"/>
      <c r="E90" s="67"/>
      <c r="F90" s="62" t="str">
        <f t="shared" si="4"/>
        <v/>
      </c>
      <c r="G90" s="66"/>
      <c r="H90" s="67"/>
      <c r="I90" s="62" t="str">
        <f t="shared" si="5"/>
        <v/>
      </c>
    </row>
    <row r="91" spans="1:9">
      <c r="A91" s="90"/>
      <c r="B91" s="91"/>
      <c r="C91" s="62" t="str">
        <f t="shared" si="3"/>
        <v/>
      </c>
      <c r="D91" s="66"/>
      <c r="E91" s="67"/>
      <c r="F91" s="62" t="str">
        <f t="shared" si="4"/>
        <v/>
      </c>
      <c r="G91" s="66"/>
      <c r="H91" s="67"/>
      <c r="I91" s="62" t="str">
        <f t="shared" si="5"/>
        <v/>
      </c>
    </row>
    <row r="92" spans="1:9">
      <c r="A92" s="90"/>
      <c r="B92" s="91"/>
      <c r="C92" s="62" t="str">
        <f t="shared" si="3"/>
        <v/>
      </c>
      <c r="D92" s="66"/>
      <c r="E92" s="67"/>
      <c r="F92" s="62" t="str">
        <f t="shared" si="4"/>
        <v/>
      </c>
      <c r="G92" s="66"/>
      <c r="H92" s="67"/>
      <c r="I92" s="62" t="str">
        <f t="shared" si="5"/>
        <v/>
      </c>
    </row>
    <row r="93" spans="1:9">
      <c r="A93" s="90"/>
      <c r="B93" s="91"/>
      <c r="C93" s="62" t="str">
        <f t="shared" si="3"/>
        <v/>
      </c>
      <c r="D93" s="66"/>
      <c r="E93" s="67"/>
      <c r="F93" s="62" t="str">
        <f t="shared" si="4"/>
        <v/>
      </c>
      <c r="G93" s="66"/>
      <c r="H93" s="67"/>
      <c r="I93" s="62" t="str">
        <f t="shared" si="5"/>
        <v/>
      </c>
    </row>
    <row r="94" spans="1:9">
      <c r="A94" s="90"/>
      <c r="B94" s="91"/>
      <c r="C94" s="62" t="str">
        <f t="shared" si="3"/>
        <v/>
      </c>
      <c r="D94" s="66"/>
      <c r="E94" s="67"/>
      <c r="F94" s="62" t="str">
        <f t="shared" si="4"/>
        <v/>
      </c>
      <c r="G94" s="66"/>
      <c r="H94" s="67"/>
      <c r="I94" s="62" t="str">
        <f t="shared" si="5"/>
        <v/>
      </c>
    </row>
    <row r="95" spans="1:9">
      <c r="A95" s="90"/>
      <c r="B95" s="91"/>
      <c r="C95" s="62" t="str">
        <f t="shared" si="3"/>
        <v/>
      </c>
      <c r="D95" s="66"/>
      <c r="E95" s="67"/>
      <c r="F95" s="62" t="str">
        <f t="shared" si="4"/>
        <v/>
      </c>
      <c r="G95" s="66"/>
      <c r="H95" s="67"/>
      <c r="I95" s="62" t="str">
        <f t="shared" si="5"/>
        <v/>
      </c>
    </row>
    <row r="96" spans="1:9">
      <c r="A96" s="90"/>
      <c r="B96" s="91"/>
      <c r="C96" s="62" t="str">
        <f t="shared" si="3"/>
        <v/>
      </c>
      <c r="D96" s="66"/>
      <c r="E96" s="67"/>
      <c r="F96" s="62" t="str">
        <f t="shared" si="4"/>
        <v/>
      </c>
      <c r="G96" s="66"/>
      <c r="H96" s="67"/>
      <c r="I96" s="62" t="str">
        <f t="shared" si="5"/>
        <v/>
      </c>
    </row>
    <row r="97" spans="1:9">
      <c r="A97" s="90"/>
      <c r="B97" s="91"/>
      <c r="C97" s="62" t="str">
        <f t="shared" si="3"/>
        <v/>
      </c>
      <c r="D97" s="66"/>
      <c r="E97" s="67"/>
      <c r="F97" s="62" t="str">
        <f t="shared" si="4"/>
        <v/>
      </c>
      <c r="G97" s="66"/>
      <c r="H97" s="67"/>
      <c r="I97" s="62" t="str">
        <f t="shared" si="5"/>
        <v/>
      </c>
    </row>
    <row r="98" spans="1:9">
      <c r="A98" s="90"/>
      <c r="B98" s="91"/>
      <c r="C98" s="62" t="str">
        <f t="shared" si="3"/>
        <v/>
      </c>
      <c r="D98" s="66"/>
      <c r="E98" s="67"/>
      <c r="F98" s="62" t="str">
        <f t="shared" si="4"/>
        <v/>
      </c>
      <c r="G98" s="66"/>
      <c r="H98" s="67"/>
      <c r="I98" s="62" t="str">
        <f t="shared" si="5"/>
        <v/>
      </c>
    </row>
    <row r="99" spans="1:9">
      <c r="A99" s="90"/>
      <c r="B99" s="91"/>
      <c r="C99" s="62" t="str">
        <f t="shared" si="3"/>
        <v/>
      </c>
      <c r="D99" s="66"/>
      <c r="E99" s="67"/>
      <c r="F99" s="62" t="str">
        <f t="shared" si="4"/>
        <v/>
      </c>
      <c r="G99" s="66"/>
      <c r="H99" s="67"/>
      <c r="I99" s="62" t="str">
        <f t="shared" si="5"/>
        <v/>
      </c>
    </row>
    <row r="100" spans="1:9">
      <c r="A100" s="90"/>
      <c r="B100" s="91"/>
      <c r="C100" s="62" t="str">
        <f t="shared" si="3"/>
        <v/>
      </c>
      <c r="D100" s="66"/>
      <c r="E100" s="67"/>
      <c r="F100" s="62" t="str">
        <f t="shared" si="4"/>
        <v/>
      </c>
      <c r="G100" s="66"/>
      <c r="H100" s="67"/>
      <c r="I100" s="62" t="str">
        <f t="shared" si="5"/>
        <v/>
      </c>
    </row>
    <row r="101" spans="1:9">
      <c r="A101" s="90"/>
      <c r="B101" s="91"/>
      <c r="C101" s="62" t="str">
        <f t="shared" si="3"/>
        <v/>
      </c>
      <c r="D101" s="66"/>
      <c r="E101" s="67"/>
      <c r="F101" s="62" t="str">
        <f t="shared" si="4"/>
        <v/>
      </c>
      <c r="G101" s="66"/>
      <c r="H101" s="67"/>
      <c r="I101" s="62" t="str">
        <f t="shared" si="5"/>
        <v/>
      </c>
    </row>
    <row r="102" spans="1:9">
      <c r="A102" s="90"/>
      <c r="B102" s="91"/>
      <c r="C102" s="62" t="str">
        <f t="shared" si="3"/>
        <v/>
      </c>
      <c r="D102" s="66"/>
      <c r="E102" s="67"/>
      <c r="F102" s="62" t="str">
        <f t="shared" si="4"/>
        <v/>
      </c>
      <c r="G102" s="66"/>
      <c r="H102" s="67"/>
      <c r="I102" s="62" t="str">
        <f t="shared" si="5"/>
        <v/>
      </c>
    </row>
    <row r="103" spans="1:9">
      <c r="A103" s="90"/>
      <c r="B103" s="91"/>
      <c r="C103" s="62" t="str">
        <f t="shared" si="3"/>
        <v/>
      </c>
      <c r="D103" s="66"/>
      <c r="E103" s="67"/>
      <c r="F103" s="62" t="str">
        <f t="shared" si="4"/>
        <v/>
      </c>
      <c r="G103" s="66"/>
      <c r="H103" s="67"/>
      <c r="I103" s="62" t="str">
        <f t="shared" si="5"/>
        <v/>
      </c>
    </row>
    <row r="104" spans="1:9">
      <c r="A104" s="90"/>
      <c r="B104" s="91"/>
      <c r="C104" s="62" t="str">
        <f t="shared" si="3"/>
        <v/>
      </c>
      <c r="D104" s="66"/>
      <c r="E104" s="67"/>
      <c r="F104" s="62" t="str">
        <f t="shared" si="4"/>
        <v/>
      </c>
      <c r="G104" s="66"/>
      <c r="H104" s="67"/>
      <c r="I104" s="62" t="str">
        <f t="shared" si="5"/>
        <v/>
      </c>
    </row>
    <row r="105" spans="1:9">
      <c r="A105" s="90"/>
      <c r="B105" s="91"/>
      <c r="C105" s="62" t="str">
        <f t="shared" si="3"/>
        <v/>
      </c>
      <c r="D105" s="66"/>
      <c r="E105" s="67"/>
      <c r="F105" s="62" t="str">
        <f t="shared" si="4"/>
        <v/>
      </c>
      <c r="G105" s="66"/>
      <c r="H105" s="67"/>
      <c r="I105" s="62" t="str">
        <f t="shared" si="5"/>
        <v/>
      </c>
    </row>
    <row r="106" spans="1:9">
      <c r="A106" s="90"/>
      <c r="B106" s="91"/>
      <c r="C106" s="62" t="str">
        <f t="shared" si="3"/>
        <v/>
      </c>
      <c r="D106" s="66"/>
      <c r="E106" s="67"/>
      <c r="F106" s="62" t="str">
        <f t="shared" si="4"/>
        <v/>
      </c>
      <c r="G106" s="66"/>
      <c r="H106" s="67"/>
      <c r="I106" s="62" t="str">
        <f t="shared" si="5"/>
        <v/>
      </c>
    </row>
    <row r="107" spans="1:9">
      <c r="A107" s="90"/>
      <c r="B107" s="91"/>
      <c r="C107" s="62" t="str">
        <f t="shared" si="3"/>
        <v/>
      </c>
      <c r="D107" s="66"/>
      <c r="E107" s="67"/>
      <c r="F107" s="62" t="str">
        <f t="shared" si="4"/>
        <v/>
      </c>
      <c r="G107" s="66"/>
      <c r="H107" s="67"/>
      <c r="I107" s="62" t="str">
        <f t="shared" si="5"/>
        <v/>
      </c>
    </row>
    <row r="108" spans="1:9">
      <c r="A108" s="90"/>
      <c r="B108" s="91"/>
      <c r="C108" s="62" t="str">
        <f t="shared" si="3"/>
        <v/>
      </c>
      <c r="D108" s="66"/>
      <c r="E108" s="67"/>
      <c r="F108" s="62" t="str">
        <f t="shared" si="4"/>
        <v/>
      </c>
      <c r="G108" s="66"/>
      <c r="H108" s="67"/>
      <c r="I108" s="62" t="str">
        <f t="shared" si="5"/>
        <v/>
      </c>
    </row>
    <row r="109" spans="1:9">
      <c r="A109" s="90"/>
      <c r="B109" s="91"/>
      <c r="C109" s="62" t="str">
        <f t="shared" si="3"/>
        <v/>
      </c>
      <c r="D109" s="66"/>
      <c r="E109" s="67"/>
      <c r="F109" s="62" t="str">
        <f t="shared" si="4"/>
        <v/>
      </c>
      <c r="G109" s="66"/>
      <c r="H109" s="67"/>
      <c r="I109" s="62" t="str">
        <f t="shared" si="5"/>
        <v/>
      </c>
    </row>
    <row r="110" spans="1:9">
      <c r="A110" s="90"/>
      <c r="B110" s="91"/>
      <c r="C110" s="62" t="str">
        <f t="shared" si="3"/>
        <v/>
      </c>
      <c r="D110" s="66"/>
      <c r="E110" s="67"/>
      <c r="F110" s="62" t="str">
        <f t="shared" si="4"/>
        <v/>
      </c>
      <c r="G110" s="66"/>
      <c r="H110" s="67"/>
      <c r="I110" s="62" t="str">
        <f t="shared" si="5"/>
        <v/>
      </c>
    </row>
    <row r="111" spans="1:9">
      <c r="A111" s="90"/>
      <c r="B111" s="91"/>
      <c r="C111" s="62" t="str">
        <f t="shared" si="3"/>
        <v/>
      </c>
      <c r="D111" s="66"/>
      <c r="E111" s="67"/>
      <c r="F111" s="62" t="str">
        <f t="shared" si="4"/>
        <v/>
      </c>
      <c r="G111" s="66"/>
      <c r="H111" s="67"/>
      <c r="I111" s="62" t="str">
        <f t="shared" si="5"/>
        <v/>
      </c>
    </row>
    <row r="112" spans="1:9">
      <c r="A112" s="90"/>
      <c r="B112" s="91"/>
      <c r="C112" s="62" t="str">
        <f t="shared" si="3"/>
        <v/>
      </c>
      <c r="D112" s="66"/>
      <c r="E112" s="67"/>
      <c r="F112" s="62" t="str">
        <f t="shared" si="4"/>
        <v/>
      </c>
      <c r="G112" s="66"/>
      <c r="H112" s="67"/>
      <c r="I112" s="62" t="str">
        <f t="shared" si="5"/>
        <v/>
      </c>
    </row>
    <row r="113" spans="1:9">
      <c r="A113" s="90"/>
      <c r="B113" s="91"/>
      <c r="C113" s="62" t="str">
        <f t="shared" si="3"/>
        <v/>
      </c>
      <c r="D113" s="66"/>
      <c r="E113" s="67"/>
      <c r="F113" s="62" t="str">
        <f t="shared" si="4"/>
        <v/>
      </c>
      <c r="G113" s="66"/>
      <c r="H113" s="67"/>
      <c r="I113" s="62" t="str">
        <f t="shared" si="5"/>
        <v/>
      </c>
    </row>
    <row r="114" spans="1:9">
      <c r="A114" s="90"/>
      <c r="B114" s="91"/>
      <c r="C114" s="62" t="str">
        <f t="shared" si="3"/>
        <v/>
      </c>
      <c r="D114" s="66"/>
      <c r="E114" s="67"/>
      <c r="F114" s="62" t="str">
        <f t="shared" si="4"/>
        <v/>
      </c>
      <c r="G114" s="66"/>
      <c r="H114" s="67"/>
      <c r="I114" s="62" t="str">
        <f t="shared" si="5"/>
        <v/>
      </c>
    </row>
    <row r="115" spans="1:9">
      <c r="A115" s="90"/>
      <c r="B115" s="91"/>
      <c r="C115" s="62" t="str">
        <f t="shared" si="3"/>
        <v/>
      </c>
      <c r="D115" s="66"/>
      <c r="E115" s="67"/>
      <c r="F115" s="62" t="str">
        <f t="shared" si="4"/>
        <v/>
      </c>
      <c r="G115" s="66"/>
      <c r="H115" s="67"/>
      <c r="I115" s="62" t="str">
        <f t="shared" si="5"/>
        <v/>
      </c>
    </row>
    <row r="116" spans="1:9">
      <c r="A116" s="90"/>
      <c r="B116" s="91"/>
      <c r="C116" s="62" t="str">
        <f t="shared" si="3"/>
        <v/>
      </c>
      <c r="D116" s="66"/>
      <c r="E116" s="67"/>
      <c r="F116" s="62" t="str">
        <f t="shared" si="4"/>
        <v/>
      </c>
      <c r="G116" s="66"/>
      <c r="H116" s="67"/>
      <c r="I116" s="62" t="str">
        <f t="shared" si="5"/>
        <v/>
      </c>
    </row>
    <row r="117" spans="1:9">
      <c r="A117" s="90"/>
      <c r="B117" s="91"/>
      <c r="C117" s="62" t="str">
        <f t="shared" si="3"/>
        <v/>
      </c>
      <c r="D117" s="66"/>
      <c r="E117" s="67"/>
      <c r="F117" s="62" t="str">
        <f t="shared" si="4"/>
        <v/>
      </c>
      <c r="G117" s="66"/>
      <c r="H117" s="67"/>
      <c r="I117" s="62" t="str">
        <f t="shared" si="5"/>
        <v/>
      </c>
    </row>
    <row r="118" spans="1:9">
      <c r="A118" s="90"/>
      <c r="B118" s="91"/>
      <c r="C118" s="62" t="str">
        <f t="shared" si="3"/>
        <v/>
      </c>
      <c r="D118" s="66"/>
      <c r="E118" s="67"/>
      <c r="F118" s="62" t="str">
        <f t="shared" si="4"/>
        <v/>
      </c>
      <c r="G118" s="66"/>
      <c r="H118" s="67"/>
      <c r="I118" s="62" t="str">
        <f t="shared" si="5"/>
        <v/>
      </c>
    </row>
    <row r="119" spans="1:9">
      <c r="A119" s="90"/>
      <c r="B119" s="91"/>
      <c r="C119" s="62" t="str">
        <f t="shared" si="3"/>
        <v/>
      </c>
      <c r="D119" s="66"/>
      <c r="E119" s="67"/>
      <c r="F119" s="62" t="str">
        <f t="shared" si="4"/>
        <v/>
      </c>
      <c r="G119" s="66"/>
      <c r="H119" s="67"/>
      <c r="I119" s="62" t="str">
        <f t="shared" si="5"/>
        <v/>
      </c>
    </row>
    <row r="120" spans="1:9">
      <c r="A120" s="90"/>
      <c r="B120" s="91"/>
      <c r="C120" s="62" t="str">
        <f t="shared" si="3"/>
        <v/>
      </c>
      <c r="D120" s="66"/>
      <c r="E120" s="67"/>
      <c r="F120" s="62" t="str">
        <f t="shared" si="4"/>
        <v/>
      </c>
      <c r="G120" s="66"/>
      <c r="H120" s="67"/>
      <c r="I120" s="62" t="str">
        <f t="shared" si="5"/>
        <v/>
      </c>
    </row>
    <row r="121" spans="1:9">
      <c r="A121" s="90"/>
      <c r="B121" s="91"/>
      <c r="C121" s="62" t="str">
        <f t="shared" si="3"/>
        <v/>
      </c>
      <c r="D121" s="66"/>
      <c r="E121" s="67"/>
      <c r="F121" s="62" t="str">
        <f t="shared" si="4"/>
        <v/>
      </c>
      <c r="G121" s="66"/>
      <c r="H121" s="67"/>
      <c r="I121" s="62" t="str">
        <f t="shared" si="5"/>
        <v/>
      </c>
    </row>
    <row r="122" spans="1:9">
      <c r="A122" s="90"/>
      <c r="B122" s="91"/>
      <c r="C122" s="62" t="str">
        <f t="shared" si="3"/>
        <v/>
      </c>
      <c r="D122" s="66"/>
      <c r="E122" s="67"/>
      <c r="F122" s="62" t="str">
        <f t="shared" si="4"/>
        <v/>
      </c>
      <c r="G122" s="66"/>
      <c r="H122" s="67"/>
      <c r="I122" s="62" t="str">
        <f t="shared" si="5"/>
        <v/>
      </c>
    </row>
    <row r="123" spans="1:9">
      <c r="A123" s="90"/>
      <c r="B123" s="91"/>
      <c r="C123" s="62" t="str">
        <f t="shared" si="3"/>
        <v/>
      </c>
      <c r="D123" s="66"/>
      <c r="E123" s="67"/>
      <c r="F123" s="62" t="str">
        <f t="shared" si="4"/>
        <v/>
      </c>
      <c r="G123" s="66"/>
      <c r="H123" s="67"/>
      <c r="I123" s="62" t="str">
        <f t="shared" si="5"/>
        <v/>
      </c>
    </row>
    <row r="124" spans="1:9">
      <c r="A124" s="90"/>
      <c r="B124" s="91"/>
      <c r="C124" s="62" t="str">
        <f t="shared" si="3"/>
        <v/>
      </c>
      <c r="D124" s="66"/>
      <c r="E124" s="67"/>
      <c r="F124" s="62" t="str">
        <f t="shared" si="4"/>
        <v/>
      </c>
      <c r="G124" s="66"/>
      <c r="H124" s="67"/>
      <c r="I124" s="62" t="str">
        <f t="shared" si="5"/>
        <v/>
      </c>
    </row>
    <row r="125" spans="1:9">
      <c r="A125" s="90"/>
      <c r="B125" s="91"/>
      <c r="C125" s="62" t="str">
        <f t="shared" si="3"/>
        <v/>
      </c>
      <c r="D125" s="66"/>
      <c r="E125" s="67"/>
      <c r="F125" s="62" t="str">
        <f t="shared" si="4"/>
        <v/>
      </c>
      <c r="G125" s="66"/>
      <c r="H125" s="67"/>
      <c r="I125" s="62" t="str">
        <f t="shared" si="5"/>
        <v/>
      </c>
    </row>
    <row r="126" spans="1:9">
      <c r="A126" s="90"/>
      <c r="B126" s="91"/>
      <c r="C126" s="62" t="str">
        <f t="shared" si="3"/>
        <v/>
      </c>
      <c r="D126" s="66"/>
      <c r="E126" s="67"/>
      <c r="F126" s="62" t="str">
        <f t="shared" si="4"/>
        <v/>
      </c>
      <c r="G126" s="66"/>
      <c r="H126" s="67"/>
      <c r="I126" s="62" t="str">
        <f t="shared" si="5"/>
        <v/>
      </c>
    </row>
    <row r="127" spans="1:9">
      <c r="A127" s="90"/>
      <c r="B127" s="91"/>
      <c r="C127" s="62" t="str">
        <f t="shared" si="3"/>
        <v/>
      </c>
      <c r="D127" s="66"/>
      <c r="E127" s="67"/>
      <c r="F127" s="62" t="str">
        <f t="shared" si="4"/>
        <v/>
      </c>
      <c r="G127" s="66"/>
      <c r="H127" s="67"/>
      <c r="I127" s="62" t="str">
        <f t="shared" si="5"/>
        <v/>
      </c>
    </row>
    <row r="128" spans="1:9">
      <c r="A128" s="90"/>
      <c r="B128" s="91"/>
      <c r="C128" s="62" t="str">
        <f t="shared" si="3"/>
        <v/>
      </c>
      <c r="D128" s="66"/>
      <c r="E128" s="67"/>
      <c r="F128" s="62" t="str">
        <f t="shared" si="4"/>
        <v/>
      </c>
      <c r="G128" s="66"/>
      <c r="H128" s="67"/>
      <c r="I128" s="62" t="str">
        <f t="shared" si="5"/>
        <v/>
      </c>
    </row>
    <row r="129" spans="1:9">
      <c r="A129" s="90"/>
      <c r="B129" s="91"/>
      <c r="C129" s="62" t="str">
        <f t="shared" si="3"/>
        <v/>
      </c>
      <c r="D129" s="66"/>
      <c r="E129" s="67"/>
      <c r="F129" s="62" t="str">
        <f t="shared" si="4"/>
        <v/>
      </c>
      <c r="G129" s="66"/>
      <c r="H129" s="67"/>
      <c r="I129" s="62" t="str">
        <f t="shared" si="5"/>
        <v/>
      </c>
    </row>
    <row r="130" spans="1:9">
      <c r="A130" s="90"/>
      <c r="B130" s="91"/>
      <c r="C130" s="62" t="str">
        <f t="shared" si="3"/>
        <v/>
      </c>
      <c r="D130" s="66"/>
      <c r="E130" s="67"/>
      <c r="F130" s="62" t="str">
        <f t="shared" si="4"/>
        <v/>
      </c>
      <c r="G130" s="66"/>
      <c r="H130" s="67"/>
      <c r="I130" s="62" t="str">
        <f t="shared" si="5"/>
        <v/>
      </c>
    </row>
    <row r="131" spans="1:9">
      <c r="A131" s="90"/>
      <c r="B131" s="91"/>
      <c r="C131" s="62" t="str">
        <f t="shared" si="3"/>
        <v/>
      </c>
      <c r="D131" s="66"/>
      <c r="E131" s="67"/>
      <c r="F131" s="62" t="str">
        <f t="shared" si="4"/>
        <v/>
      </c>
      <c r="G131" s="66"/>
      <c r="H131" s="67"/>
      <c r="I131" s="62" t="str">
        <f t="shared" si="5"/>
        <v/>
      </c>
    </row>
    <row r="132" spans="1:9">
      <c r="A132" s="90"/>
      <c r="B132" s="91"/>
      <c r="C132" s="62" t="str">
        <f t="shared" si="3"/>
        <v/>
      </c>
      <c r="D132" s="66"/>
      <c r="E132" s="67"/>
      <c r="F132" s="62" t="str">
        <f t="shared" si="4"/>
        <v/>
      </c>
      <c r="G132" s="66"/>
      <c r="H132" s="67"/>
      <c r="I132" s="62" t="str">
        <f t="shared" si="5"/>
        <v/>
      </c>
    </row>
    <row r="133" spans="1:9">
      <c r="A133" s="90"/>
      <c r="B133" s="91"/>
      <c r="C133" s="62" t="str">
        <f t="shared" ref="C133:C196" si="6">IF(B133&gt;0,TEXT(B133,"(aaa)"),"")</f>
        <v/>
      </c>
      <c r="D133" s="66"/>
      <c r="E133" s="67"/>
      <c r="F133" s="62" t="str">
        <f t="shared" ref="F133:F196" si="7">IF(E133&gt;0,TEXT(E133,"(aaa)"),"")</f>
        <v/>
      </c>
      <c r="G133" s="66"/>
      <c r="H133" s="67"/>
      <c r="I133" s="62" t="str">
        <f t="shared" ref="I133:I196" si="8">IF(H133&gt;0,TEXT(H133,"(aaa)"),"")</f>
        <v/>
      </c>
    </row>
    <row r="134" spans="1:9">
      <c r="A134" s="90"/>
      <c r="B134" s="91"/>
      <c r="C134" s="62" t="str">
        <f t="shared" si="6"/>
        <v/>
      </c>
      <c r="D134" s="66"/>
      <c r="E134" s="67"/>
      <c r="F134" s="62" t="str">
        <f t="shared" si="7"/>
        <v/>
      </c>
      <c r="G134" s="66"/>
      <c r="H134" s="67"/>
      <c r="I134" s="62" t="str">
        <f t="shared" si="8"/>
        <v/>
      </c>
    </row>
    <row r="135" spans="1:9">
      <c r="A135" s="90"/>
      <c r="B135" s="91"/>
      <c r="C135" s="62" t="str">
        <f t="shared" si="6"/>
        <v/>
      </c>
      <c r="D135" s="66"/>
      <c r="E135" s="67"/>
      <c r="F135" s="62" t="str">
        <f t="shared" si="7"/>
        <v/>
      </c>
      <c r="G135" s="66"/>
      <c r="H135" s="67"/>
      <c r="I135" s="62" t="str">
        <f t="shared" si="8"/>
        <v/>
      </c>
    </row>
    <row r="136" spans="1:9">
      <c r="A136" s="90"/>
      <c r="B136" s="91"/>
      <c r="C136" s="62" t="str">
        <f t="shared" si="6"/>
        <v/>
      </c>
      <c r="D136" s="66"/>
      <c r="E136" s="67"/>
      <c r="F136" s="62" t="str">
        <f t="shared" si="7"/>
        <v/>
      </c>
      <c r="G136" s="66"/>
      <c r="H136" s="67"/>
      <c r="I136" s="62" t="str">
        <f t="shared" si="8"/>
        <v/>
      </c>
    </row>
    <row r="137" spans="1:9">
      <c r="A137" s="90"/>
      <c r="B137" s="91"/>
      <c r="C137" s="62" t="str">
        <f t="shared" si="6"/>
        <v/>
      </c>
      <c r="D137" s="66"/>
      <c r="E137" s="67"/>
      <c r="F137" s="62" t="str">
        <f t="shared" si="7"/>
        <v/>
      </c>
      <c r="G137" s="66"/>
      <c r="H137" s="67"/>
      <c r="I137" s="62" t="str">
        <f t="shared" si="8"/>
        <v/>
      </c>
    </row>
    <row r="138" spans="1:9">
      <c r="A138" s="90"/>
      <c r="B138" s="91"/>
      <c r="C138" s="62" t="str">
        <f t="shared" si="6"/>
        <v/>
      </c>
      <c r="D138" s="66"/>
      <c r="E138" s="67"/>
      <c r="F138" s="62" t="str">
        <f t="shared" si="7"/>
        <v/>
      </c>
      <c r="G138" s="66"/>
      <c r="H138" s="67"/>
      <c r="I138" s="62" t="str">
        <f t="shared" si="8"/>
        <v/>
      </c>
    </row>
    <row r="139" spans="1:9">
      <c r="A139" s="90"/>
      <c r="B139" s="91"/>
      <c r="C139" s="62" t="str">
        <f t="shared" si="6"/>
        <v/>
      </c>
      <c r="D139" s="66"/>
      <c r="E139" s="67"/>
      <c r="F139" s="62" t="str">
        <f t="shared" si="7"/>
        <v/>
      </c>
      <c r="G139" s="66"/>
      <c r="H139" s="67"/>
      <c r="I139" s="62" t="str">
        <f t="shared" si="8"/>
        <v/>
      </c>
    </row>
    <row r="140" spans="1:9">
      <c r="A140" s="90"/>
      <c r="B140" s="91"/>
      <c r="C140" s="62" t="str">
        <f t="shared" si="6"/>
        <v/>
      </c>
      <c r="D140" s="66"/>
      <c r="E140" s="67"/>
      <c r="F140" s="62" t="str">
        <f t="shared" si="7"/>
        <v/>
      </c>
      <c r="G140" s="66"/>
      <c r="H140" s="67"/>
      <c r="I140" s="62" t="str">
        <f t="shared" si="8"/>
        <v/>
      </c>
    </row>
    <row r="141" spans="1:9">
      <c r="A141" s="90"/>
      <c r="B141" s="91"/>
      <c r="C141" s="62" t="str">
        <f t="shared" si="6"/>
        <v/>
      </c>
      <c r="D141" s="66"/>
      <c r="E141" s="67"/>
      <c r="F141" s="62" t="str">
        <f t="shared" si="7"/>
        <v/>
      </c>
      <c r="G141" s="66"/>
      <c r="H141" s="67"/>
      <c r="I141" s="62" t="str">
        <f t="shared" si="8"/>
        <v/>
      </c>
    </row>
    <row r="142" spans="1:9">
      <c r="A142" s="90"/>
      <c r="B142" s="91"/>
      <c r="C142" s="62" t="str">
        <f t="shared" si="6"/>
        <v/>
      </c>
      <c r="D142" s="66"/>
      <c r="E142" s="67"/>
      <c r="F142" s="62" t="str">
        <f t="shared" si="7"/>
        <v/>
      </c>
      <c r="G142" s="66"/>
      <c r="H142" s="67"/>
      <c r="I142" s="62" t="str">
        <f t="shared" si="8"/>
        <v/>
      </c>
    </row>
    <row r="143" spans="1:9">
      <c r="A143" s="90"/>
      <c r="B143" s="91"/>
      <c r="C143" s="62" t="str">
        <f t="shared" si="6"/>
        <v/>
      </c>
      <c r="D143" s="66"/>
      <c r="E143" s="67"/>
      <c r="F143" s="62" t="str">
        <f t="shared" si="7"/>
        <v/>
      </c>
      <c r="G143" s="66"/>
      <c r="H143" s="67"/>
      <c r="I143" s="62" t="str">
        <f t="shared" si="8"/>
        <v/>
      </c>
    </row>
    <row r="144" spans="1:9">
      <c r="A144" s="90"/>
      <c r="B144" s="91"/>
      <c r="C144" s="62" t="str">
        <f t="shared" si="6"/>
        <v/>
      </c>
      <c r="D144" s="66"/>
      <c r="E144" s="67"/>
      <c r="F144" s="62" t="str">
        <f t="shared" si="7"/>
        <v/>
      </c>
      <c r="G144" s="66"/>
      <c r="H144" s="67"/>
      <c r="I144" s="62" t="str">
        <f t="shared" si="8"/>
        <v/>
      </c>
    </row>
    <row r="145" spans="1:9">
      <c r="A145" s="90"/>
      <c r="B145" s="91"/>
      <c r="C145" s="62" t="str">
        <f t="shared" si="6"/>
        <v/>
      </c>
      <c r="D145" s="66"/>
      <c r="E145" s="67"/>
      <c r="F145" s="62" t="str">
        <f t="shared" si="7"/>
        <v/>
      </c>
      <c r="G145" s="66"/>
      <c r="H145" s="67"/>
      <c r="I145" s="62" t="str">
        <f t="shared" si="8"/>
        <v/>
      </c>
    </row>
    <row r="146" spans="1:9">
      <c r="A146" s="90"/>
      <c r="B146" s="91"/>
      <c r="C146" s="62" t="str">
        <f t="shared" si="6"/>
        <v/>
      </c>
      <c r="D146" s="66"/>
      <c r="E146" s="67"/>
      <c r="F146" s="62" t="str">
        <f t="shared" si="7"/>
        <v/>
      </c>
      <c r="G146" s="66"/>
      <c r="H146" s="67"/>
      <c r="I146" s="62" t="str">
        <f t="shared" si="8"/>
        <v/>
      </c>
    </row>
    <row r="147" spans="1:9">
      <c r="A147" s="90"/>
      <c r="B147" s="91"/>
      <c r="C147" s="62" t="str">
        <f t="shared" si="6"/>
        <v/>
      </c>
      <c r="D147" s="66"/>
      <c r="E147" s="67"/>
      <c r="F147" s="62" t="str">
        <f t="shared" si="7"/>
        <v/>
      </c>
      <c r="G147" s="66"/>
      <c r="H147" s="67"/>
      <c r="I147" s="62" t="str">
        <f t="shared" si="8"/>
        <v/>
      </c>
    </row>
    <row r="148" spans="1:9">
      <c r="A148" s="90"/>
      <c r="B148" s="91"/>
      <c r="C148" s="62" t="str">
        <f t="shared" si="6"/>
        <v/>
      </c>
      <c r="D148" s="66"/>
      <c r="E148" s="67"/>
      <c r="F148" s="62" t="str">
        <f t="shared" si="7"/>
        <v/>
      </c>
      <c r="G148" s="66"/>
      <c r="H148" s="67"/>
      <c r="I148" s="62" t="str">
        <f t="shared" si="8"/>
        <v/>
      </c>
    </row>
    <row r="149" spans="1:9">
      <c r="A149" s="90"/>
      <c r="B149" s="91"/>
      <c r="C149" s="62" t="str">
        <f t="shared" si="6"/>
        <v/>
      </c>
      <c r="D149" s="66"/>
      <c r="E149" s="67"/>
      <c r="F149" s="62" t="str">
        <f t="shared" si="7"/>
        <v/>
      </c>
      <c r="G149" s="66"/>
      <c r="H149" s="67"/>
      <c r="I149" s="62" t="str">
        <f t="shared" si="8"/>
        <v/>
      </c>
    </row>
    <row r="150" spans="1:9">
      <c r="A150" s="90"/>
      <c r="B150" s="91"/>
      <c r="C150" s="62" t="str">
        <f t="shared" si="6"/>
        <v/>
      </c>
      <c r="D150" s="66"/>
      <c r="E150" s="67"/>
      <c r="F150" s="62" t="str">
        <f t="shared" si="7"/>
        <v/>
      </c>
      <c r="G150" s="66"/>
      <c r="H150" s="67"/>
      <c r="I150" s="62" t="str">
        <f t="shared" si="8"/>
        <v/>
      </c>
    </row>
    <row r="151" spans="1:9">
      <c r="A151" s="90"/>
      <c r="B151" s="91"/>
      <c r="C151" s="62" t="str">
        <f t="shared" si="6"/>
        <v/>
      </c>
      <c r="D151" s="66"/>
      <c r="E151" s="67"/>
      <c r="F151" s="62" t="str">
        <f t="shared" si="7"/>
        <v/>
      </c>
      <c r="G151" s="66"/>
      <c r="H151" s="67"/>
      <c r="I151" s="62" t="str">
        <f t="shared" si="8"/>
        <v/>
      </c>
    </row>
    <row r="152" spans="1:9">
      <c r="A152" s="90"/>
      <c r="B152" s="91"/>
      <c r="C152" s="62" t="str">
        <f t="shared" si="6"/>
        <v/>
      </c>
      <c r="D152" s="66"/>
      <c r="E152" s="67"/>
      <c r="F152" s="62" t="str">
        <f t="shared" si="7"/>
        <v/>
      </c>
      <c r="G152" s="66"/>
      <c r="H152" s="67"/>
      <c r="I152" s="62" t="str">
        <f t="shared" si="8"/>
        <v/>
      </c>
    </row>
    <row r="153" spans="1:9">
      <c r="A153" s="90"/>
      <c r="B153" s="91"/>
      <c r="C153" s="62" t="str">
        <f t="shared" si="6"/>
        <v/>
      </c>
      <c r="D153" s="66"/>
      <c r="E153" s="67"/>
      <c r="F153" s="62" t="str">
        <f t="shared" si="7"/>
        <v/>
      </c>
      <c r="G153" s="66"/>
      <c r="H153" s="67"/>
      <c r="I153" s="62" t="str">
        <f t="shared" si="8"/>
        <v/>
      </c>
    </row>
    <row r="154" spans="1:9">
      <c r="A154" s="90"/>
      <c r="B154" s="91"/>
      <c r="C154" s="62" t="str">
        <f t="shared" si="6"/>
        <v/>
      </c>
      <c r="D154" s="66"/>
      <c r="E154" s="67"/>
      <c r="F154" s="62" t="str">
        <f t="shared" si="7"/>
        <v/>
      </c>
      <c r="G154" s="66"/>
      <c r="H154" s="67"/>
      <c r="I154" s="62" t="str">
        <f t="shared" si="8"/>
        <v/>
      </c>
    </row>
    <row r="155" spans="1:9">
      <c r="A155" s="90"/>
      <c r="B155" s="91"/>
      <c r="C155" s="62" t="str">
        <f t="shared" si="6"/>
        <v/>
      </c>
      <c r="D155" s="66"/>
      <c r="E155" s="67"/>
      <c r="F155" s="62" t="str">
        <f t="shared" si="7"/>
        <v/>
      </c>
      <c r="G155" s="66"/>
      <c r="H155" s="67"/>
      <c r="I155" s="62" t="str">
        <f t="shared" si="8"/>
        <v/>
      </c>
    </row>
    <row r="156" spans="1:9">
      <c r="A156" s="90"/>
      <c r="B156" s="91"/>
      <c r="C156" s="62" t="str">
        <f t="shared" si="6"/>
        <v/>
      </c>
      <c r="D156" s="66"/>
      <c r="E156" s="67"/>
      <c r="F156" s="62" t="str">
        <f t="shared" si="7"/>
        <v/>
      </c>
      <c r="G156" s="66"/>
      <c r="H156" s="67"/>
      <c r="I156" s="62" t="str">
        <f t="shared" si="8"/>
        <v/>
      </c>
    </row>
    <row r="157" spans="1:9">
      <c r="A157" s="90"/>
      <c r="B157" s="91"/>
      <c r="C157" s="62" t="str">
        <f t="shared" si="6"/>
        <v/>
      </c>
      <c r="D157" s="66"/>
      <c r="E157" s="67"/>
      <c r="F157" s="62" t="str">
        <f t="shared" si="7"/>
        <v/>
      </c>
      <c r="G157" s="66"/>
      <c r="H157" s="67"/>
      <c r="I157" s="62" t="str">
        <f t="shared" si="8"/>
        <v/>
      </c>
    </row>
    <row r="158" spans="1:9">
      <c r="A158" s="90"/>
      <c r="B158" s="91"/>
      <c r="C158" s="62" t="str">
        <f t="shared" si="6"/>
        <v/>
      </c>
      <c r="D158" s="66"/>
      <c r="E158" s="67"/>
      <c r="F158" s="62" t="str">
        <f t="shared" si="7"/>
        <v/>
      </c>
      <c r="G158" s="66"/>
      <c r="H158" s="67"/>
      <c r="I158" s="62" t="str">
        <f t="shared" si="8"/>
        <v/>
      </c>
    </row>
    <row r="159" spans="1:9">
      <c r="A159" s="90"/>
      <c r="B159" s="91"/>
      <c r="C159" s="62" t="str">
        <f t="shared" si="6"/>
        <v/>
      </c>
      <c r="D159" s="66"/>
      <c r="E159" s="67"/>
      <c r="F159" s="62" t="str">
        <f t="shared" si="7"/>
        <v/>
      </c>
      <c r="G159" s="66"/>
      <c r="H159" s="67"/>
      <c r="I159" s="62" t="str">
        <f t="shared" si="8"/>
        <v/>
      </c>
    </row>
    <row r="160" spans="1:9">
      <c r="A160" s="90"/>
      <c r="B160" s="91"/>
      <c r="C160" s="62" t="str">
        <f t="shared" si="6"/>
        <v/>
      </c>
      <c r="D160" s="66"/>
      <c r="E160" s="67"/>
      <c r="F160" s="62" t="str">
        <f t="shared" si="7"/>
        <v/>
      </c>
      <c r="G160" s="66"/>
      <c r="H160" s="67"/>
      <c r="I160" s="62" t="str">
        <f t="shared" si="8"/>
        <v/>
      </c>
    </row>
    <row r="161" spans="1:9">
      <c r="A161" s="90"/>
      <c r="B161" s="91"/>
      <c r="C161" s="62" t="str">
        <f t="shared" si="6"/>
        <v/>
      </c>
      <c r="D161" s="66"/>
      <c r="E161" s="67"/>
      <c r="F161" s="62" t="str">
        <f t="shared" si="7"/>
        <v/>
      </c>
      <c r="G161" s="66"/>
      <c r="H161" s="67"/>
      <c r="I161" s="62" t="str">
        <f t="shared" si="8"/>
        <v/>
      </c>
    </row>
    <row r="162" spans="1:9">
      <c r="A162" s="90"/>
      <c r="B162" s="91"/>
      <c r="C162" s="62" t="str">
        <f t="shared" si="6"/>
        <v/>
      </c>
      <c r="D162" s="66"/>
      <c r="E162" s="67"/>
      <c r="F162" s="62" t="str">
        <f t="shared" si="7"/>
        <v/>
      </c>
      <c r="G162" s="66"/>
      <c r="H162" s="67"/>
      <c r="I162" s="62" t="str">
        <f t="shared" si="8"/>
        <v/>
      </c>
    </row>
    <row r="163" spans="1:9">
      <c r="A163" s="90"/>
      <c r="B163" s="91"/>
      <c r="C163" s="62" t="str">
        <f t="shared" si="6"/>
        <v/>
      </c>
      <c r="D163" s="66"/>
      <c r="E163" s="67"/>
      <c r="F163" s="62" t="str">
        <f t="shared" si="7"/>
        <v/>
      </c>
      <c r="G163" s="66"/>
      <c r="H163" s="67"/>
      <c r="I163" s="62" t="str">
        <f t="shared" si="8"/>
        <v/>
      </c>
    </row>
    <row r="164" spans="1:9">
      <c r="A164" s="90"/>
      <c r="B164" s="91"/>
      <c r="C164" s="62" t="str">
        <f t="shared" si="6"/>
        <v/>
      </c>
      <c r="D164" s="66"/>
      <c r="E164" s="67"/>
      <c r="F164" s="62" t="str">
        <f t="shared" si="7"/>
        <v/>
      </c>
      <c r="G164" s="66"/>
      <c r="H164" s="67"/>
      <c r="I164" s="62" t="str">
        <f t="shared" si="8"/>
        <v/>
      </c>
    </row>
    <row r="165" spans="1:9">
      <c r="A165" s="90"/>
      <c r="B165" s="91"/>
      <c r="C165" s="62" t="str">
        <f t="shared" si="6"/>
        <v/>
      </c>
      <c r="D165" s="66"/>
      <c r="E165" s="67"/>
      <c r="F165" s="62" t="str">
        <f t="shared" si="7"/>
        <v/>
      </c>
      <c r="G165" s="66"/>
      <c r="H165" s="67"/>
      <c r="I165" s="62" t="str">
        <f t="shared" si="8"/>
        <v/>
      </c>
    </row>
    <row r="166" spans="1:9">
      <c r="A166" s="90"/>
      <c r="B166" s="91"/>
      <c r="C166" s="62" t="str">
        <f t="shared" si="6"/>
        <v/>
      </c>
      <c r="D166" s="66"/>
      <c r="E166" s="67"/>
      <c r="F166" s="62" t="str">
        <f t="shared" si="7"/>
        <v/>
      </c>
      <c r="G166" s="66"/>
      <c r="H166" s="67"/>
      <c r="I166" s="62" t="str">
        <f t="shared" si="8"/>
        <v/>
      </c>
    </row>
    <row r="167" spans="1:9">
      <c r="A167" s="90"/>
      <c r="B167" s="91"/>
      <c r="C167" s="62" t="str">
        <f t="shared" si="6"/>
        <v/>
      </c>
      <c r="D167" s="66"/>
      <c r="E167" s="67"/>
      <c r="F167" s="62" t="str">
        <f t="shared" si="7"/>
        <v/>
      </c>
      <c r="G167" s="66"/>
      <c r="H167" s="67"/>
      <c r="I167" s="62" t="str">
        <f t="shared" si="8"/>
        <v/>
      </c>
    </row>
    <row r="168" spans="1:9">
      <c r="A168" s="90"/>
      <c r="B168" s="91"/>
      <c r="C168" s="62" t="str">
        <f t="shared" si="6"/>
        <v/>
      </c>
      <c r="D168" s="66"/>
      <c r="E168" s="67"/>
      <c r="F168" s="62" t="str">
        <f t="shared" si="7"/>
        <v/>
      </c>
      <c r="G168" s="66"/>
      <c r="H168" s="67"/>
      <c r="I168" s="62" t="str">
        <f t="shared" si="8"/>
        <v/>
      </c>
    </row>
    <row r="169" spans="1:9">
      <c r="A169" s="90"/>
      <c r="B169" s="91"/>
      <c r="C169" s="62" t="str">
        <f t="shared" si="6"/>
        <v/>
      </c>
      <c r="D169" s="66"/>
      <c r="E169" s="67"/>
      <c r="F169" s="62" t="str">
        <f t="shared" si="7"/>
        <v/>
      </c>
      <c r="G169" s="66"/>
      <c r="H169" s="67"/>
      <c r="I169" s="62" t="str">
        <f t="shared" si="8"/>
        <v/>
      </c>
    </row>
    <row r="170" spans="1:9">
      <c r="A170" s="90"/>
      <c r="B170" s="91"/>
      <c r="C170" s="62" t="str">
        <f t="shared" si="6"/>
        <v/>
      </c>
      <c r="D170" s="66"/>
      <c r="E170" s="67"/>
      <c r="F170" s="62" t="str">
        <f t="shared" si="7"/>
        <v/>
      </c>
      <c r="G170" s="66"/>
      <c r="H170" s="67"/>
      <c r="I170" s="62" t="str">
        <f t="shared" si="8"/>
        <v/>
      </c>
    </row>
    <row r="171" spans="1:9">
      <c r="A171" s="90"/>
      <c r="B171" s="91"/>
      <c r="C171" s="62" t="str">
        <f t="shared" si="6"/>
        <v/>
      </c>
      <c r="D171" s="66"/>
      <c r="E171" s="67"/>
      <c r="F171" s="62" t="str">
        <f t="shared" si="7"/>
        <v/>
      </c>
      <c r="G171" s="66"/>
      <c r="H171" s="67"/>
      <c r="I171" s="62" t="str">
        <f t="shared" si="8"/>
        <v/>
      </c>
    </row>
    <row r="172" spans="1:9">
      <c r="A172" s="90"/>
      <c r="B172" s="91"/>
      <c r="C172" s="62" t="str">
        <f t="shared" si="6"/>
        <v/>
      </c>
      <c r="D172" s="66"/>
      <c r="E172" s="67"/>
      <c r="F172" s="62" t="str">
        <f t="shared" si="7"/>
        <v/>
      </c>
      <c r="G172" s="66"/>
      <c r="H172" s="67"/>
      <c r="I172" s="62" t="str">
        <f t="shared" si="8"/>
        <v/>
      </c>
    </row>
    <row r="173" spans="1:9">
      <c r="A173" s="90"/>
      <c r="B173" s="91"/>
      <c r="C173" s="62" t="str">
        <f t="shared" si="6"/>
        <v/>
      </c>
      <c r="D173" s="66"/>
      <c r="E173" s="67"/>
      <c r="F173" s="62" t="str">
        <f t="shared" si="7"/>
        <v/>
      </c>
      <c r="G173" s="66"/>
      <c r="H173" s="67"/>
      <c r="I173" s="62" t="str">
        <f t="shared" si="8"/>
        <v/>
      </c>
    </row>
    <row r="174" spans="1:9">
      <c r="A174" s="90"/>
      <c r="B174" s="91"/>
      <c r="C174" s="62" t="str">
        <f t="shared" si="6"/>
        <v/>
      </c>
      <c r="D174" s="66"/>
      <c r="E174" s="67"/>
      <c r="F174" s="62" t="str">
        <f t="shared" si="7"/>
        <v/>
      </c>
      <c r="G174" s="66"/>
      <c r="H174" s="67"/>
      <c r="I174" s="62" t="str">
        <f t="shared" si="8"/>
        <v/>
      </c>
    </row>
    <row r="175" spans="1:9">
      <c r="A175" s="90"/>
      <c r="B175" s="91"/>
      <c r="C175" s="62" t="str">
        <f t="shared" si="6"/>
        <v/>
      </c>
      <c r="D175" s="66"/>
      <c r="E175" s="67"/>
      <c r="F175" s="62" t="str">
        <f t="shared" si="7"/>
        <v/>
      </c>
      <c r="G175" s="66"/>
      <c r="H175" s="67"/>
      <c r="I175" s="62" t="str">
        <f t="shared" si="8"/>
        <v/>
      </c>
    </row>
    <row r="176" spans="1:9">
      <c r="A176" s="90"/>
      <c r="B176" s="91"/>
      <c r="C176" s="62" t="str">
        <f t="shared" si="6"/>
        <v/>
      </c>
      <c r="D176" s="66"/>
      <c r="E176" s="67"/>
      <c r="F176" s="62" t="str">
        <f t="shared" si="7"/>
        <v/>
      </c>
      <c r="G176" s="66"/>
      <c r="H176" s="67"/>
      <c r="I176" s="62" t="str">
        <f t="shared" si="8"/>
        <v/>
      </c>
    </row>
    <row r="177" spans="1:9">
      <c r="A177" s="90"/>
      <c r="B177" s="91"/>
      <c r="C177" s="62" t="str">
        <f t="shared" si="6"/>
        <v/>
      </c>
      <c r="D177" s="66"/>
      <c r="E177" s="67"/>
      <c r="F177" s="62" t="str">
        <f t="shared" si="7"/>
        <v/>
      </c>
      <c r="G177" s="66"/>
      <c r="H177" s="67"/>
      <c r="I177" s="62" t="str">
        <f t="shared" si="8"/>
        <v/>
      </c>
    </row>
    <row r="178" spans="1:9">
      <c r="A178" s="90"/>
      <c r="B178" s="91"/>
      <c r="C178" s="62" t="str">
        <f t="shared" si="6"/>
        <v/>
      </c>
      <c r="D178" s="66"/>
      <c r="E178" s="67"/>
      <c r="F178" s="62" t="str">
        <f t="shared" si="7"/>
        <v/>
      </c>
      <c r="G178" s="66"/>
      <c r="H178" s="67"/>
      <c r="I178" s="62" t="str">
        <f t="shared" si="8"/>
        <v/>
      </c>
    </row>
    <row r="179" spans="1:9">
      <c r="A179" s="90"/>
      <c r="B179" s="91"/>
      <c r="C179" s="62" t="str">
        <f t="shared" si="6"/>
        <v/>
      </c>
      <c r="D179" s="66"/>
      <c r="E179" s="67"/>
      <c r="F179" s="62" t="str">
        <f t="shared" si="7"/>
        <v/>
      </c>
      <c r="G179" s="66"/>
      <c r="H179" s="67"/>
      <c r="I179" s="62" t="str">
        <f t="shared" si="8"/>
        <v/>
      </c>
    </row>
    <row r="180" spans="1:9">
      <c r="A180" s="90"/>
      <c r="B180" s="91"/>
      <c r="C180" s="62" t="str">
        <f t="shared" si="6"/>
        <v/>
      </c>
      <c r="D180" s="66"/>
      <c r="E180" s="67"/>
      <c r="F180" s="62" t="str">
        <f t="shared" si="7"/>
        <v/>
      </c>
      <c r="G180" s="66"/>
      <c r="H180" s="67"/>
      <c r="I180" s="62" t="str">
        <f t="shared" si="8"/>
        <v/>
      </c>
    </row>
    <row r="181" spans="1:9">
      <c r="A181" s="90"/>
      <c r="B181" s="91"/>
      <c r="C181" s="62" t="str">
        <f t="shared" si="6"/>
        <v/>
      </c>
      <c r="D181" s="66"/>
      <c r="E181" s="67"/>
      <c r="F181" s="62" t="str">
        <f t="shared" si="7"/>
        <v/>
      </c>
      <c r="G181" s="66"/>
      <c r="H181" s="67"/>
      <c r="I181" s="62" t="str">
        <f t="shared" si="8"/>
        <v/>
      </c>
    </row>
    <row r="182" spans="1:9">
      <c r="A182" s="90"/>
      <c r="B182" s="91"/>
      <c r="C182" s="62" t="str">
        <f t="shared" si="6"/>
        <v/>
      </c>
      <c r="D182" s="66"/>
      <c r="E182" s="67"/>
      <c r="F182" s="62" t="str">
        <f t="shared" si="7"/>
        <v/>
      </c>
      <c r="G182" s="66"/>
      <c r="H182" s="67"/>
      <c r="I182" s="62" t="str">
        <f t="shared" si="8"/>
        <v/>
      </c>
    </row>
    <row r="183" spans="1:9">
      <c r="A183" s="90"/>
      <c r="B183" s="91"/>
      <c r="C183" s="62" t="str">
        <f t="shared" si="6"/>
        <v/>
      </c>
      <c r="D183" s="66"/>
      <c r="E183" s="67"/>
      <c r="F183" s="62" t="str">
        <f t="shared" si="7"/>
        <v/>
      </c>
      <c r="G183" s="66"/>
      <c r="H183" s="67"/>
      <c r="I183" s="62" t="str">
        <f t="shared" si="8"/>
        <v/>
      </c>
    </row>
    <row r="184" spans="1:9">
      <c r="A184" s="90"/>
      <c r="B184" s="91"/>
      <c r="C184" s="62" t="str">
        <f t="shared" si="6"/>
        <v/>
      </c>
      <c r="D184" s="66"/>
      <c r="E184" s="67"/>
      <c r="F184" s="62" t="str">
        <f t="shared" si="7"/>
        <v/>
      </c>
      <c r="G184" s="66"/>
      <c r="H184" s="67"/>
      <c r="I184" s="62" t="str">
        <f t="shared" si="8"/>
        <v/>
      </c>
    </row>
    <row r="185" spans="1:9">
      <c r="A185" s="90"/>
      <c r="B185" s="91"/>
      <c r="C185" s="62" t="str">
        <f t="shared" si="6"/>
        <v/>
      </c>
      <c r="D185" s="66"/>
      <c r="E185" s="67"/>
      <c r="F185" s="62" t="str">
        <f t="shared" si="7"/>
        <v/>
      </c>
      <c r="G185" s="66"/>
      <c r="H185" s="67"/>
      <c r="I185" s="62" t="str">
        <f t="shared" si="8"/>
        <v/>
      </c>
    </row>
    <row r="186" spans="1:9">
      <c r="A186" s="90"/>
      <c r="B186" s="91"/>
      <c r="C186" s="62" t="str">
        <f t="shared" si="6"/>
        <v/>
      </c>
      <c r="D186" s="66"/>
      <c r="E186" s="67"/>
      <c r="F186" s="62" t="str">
        <f t="shared" si="7"/>
        <v/>
      </c>
      <c r="G186" s="66"/>
      <c r="H186" s="67"/>
      <c r="I186" s="62" t="str">
        <f t="shared" si="8"/>
        <v/>
      </c>
    </row>
    <row r="187" spans="1:9">
      <c r="A187" s="90"/>
      <c r="B187" s="91"/>
      <c r="C187" s="62" t="str">
        <f t="shared" si="6"/>
        <v/>
      </c>
      <c r="D187" s="66"/>
      <c r="E187" s="67"/>
      <c r="F187" s="62" t="str">
        <f t="shared" si="7"/>
        <v/>
      </c>
      <c r="G187" s="66"/>
      <c r="H187" s="67"/>
      <c r="I187" s="62" t="str">
        <f t="shared" si="8"/>
        <v/>
      </c>
    </row>
    <row r="188" spans="1:9">
      <c r="A188" s="90"/>
      <c r="B188" s="91"/>
      <c r="C188" s="62" t="str">
        <f t="shared" si="6"/>
        <v/>
      </c>
      <c r="D188" s="66"/>
      <c r="E188" s="67"/>
      <c r="F188" s="62" t="str">
        <f t="shared" si="7"/>
        <v/>
      </c>
      <c r="G188" s="66"/>
      <c r="H188" s="67"/>
      <c r="I188" s="62" t="str">
        <f t="shared" si="8"/>
        <v/>
      </c>
    </row>
    <row r="189" spans="1:9">
      <c r="A189" s="90"/>
      <c r="B189" s="91"/>
      <c r="C189" s="62" t="str">
        <f t="shared" si="6"/>
        <v/>
      </c>
      <c r="D189" s="66"/>
      <c r="E189" s="67"/>
      <c r="F189" s="62" t="str">
        <f t="shared" si="7"/>
        <v/>
      </c>
      <c r="G189" s="66"/>
      <c r="H189" s="67"/>
      <c r="I189" s="62" t="str">
        <f t="shared" si="8"/>
        <v/>
      </c>
    </row>
    <row r="190" spans="1:9">
      <c r="A190" s="90"/>
      <c r="B190" s="91"/>
      <c r="C190" s="62" t="str">
        <f t="shared" si="6"/>
        <v/>
      </c>
      <c r="D190" s="66"/>
      <c r="E190" s="67"/>
      <c r="F190" s="62" t="str">
        <f t="shared" si="7"/>
        <v/>
      </c>
      <c r="G190" s="66"/>
      <c r="H190" s="67"/>
      <c r="I190" s="62" t="str">
        <f t="shared" si="8"/>
        <v/>
      </c>
    </row>
    <row r="191" spans="1:9">
      <c r="A191" s="90"/>
      <c r="B191" s="91"/>
      <c r="C191" s="62" t="str">
        <f t="shared" si="6"/>
        <v/>
      </c>
      <c r="D191" s="66"/>
      <c r="E191" s="67"/>
      <c r="F191" s="62" t="str">
        <f t="shared" si="7"/>
        <v/>
      </c>
      <c r="G191" s="66"/>
      <c r="H191" s="67"/>
      <c r="I191" s="62" t="str">
        <f t="shared" si="8"/>
        <v/>
      </c>
    </row>
    <row r="192" spans="1:9">
      <c r="A192" s="90"/>
      <c r="B192" s="91"/>
      <c r="C192" s="62" t="str">
        <f t="shared" si="6"/>
        <v/>
      </c>
      <c r="D192" s="66"/>
      <c r="E192" s="67"/>
      <c r="F192" s="62" t="str">
        <f t="shared" si="7"/>
        <v/>
      </c>
      <c r="G192" s="66"/>
      <c r="H192" s="67"/>
      <c r="I192" s="62" t="str">
        <f t="shared" si="8"/>
        <v/>
      </c>
    </row>
    <row r="193" spans="1:9">
      <c r="A193" s="90"/>
      <c r="B193" s="91"/>
      <c r="C193" s="62" t="str">
        <f t="shared" si="6"/>
        <v/>
      </c>
      <c r="D193" s="66"/>
      <c r="E193" s="67"/>
      <c r="F193" s="62" t="str">
        <f t="shared" si="7"/>
        <v/>
      </c>
      <c r="G193" s="66"/>
      <c r="H193" s="67"/>
      <c r="I193" s="62" t="str">
        <f t="shared" si="8"/>
        <v/>
      </c>
    </row>
    <row r="194" spans="1:9">
      <c r="A194" s="90"/>
      <c r="B194" s="91"/>
      <c r="C194" s="62" t="str">
        <f t="shared" si="6"/>
        <v/>
      </c>
      <c r="D194" s="66"/>
      <c r="E194" s="67"/>
      <c r="F194" s="62" t="str">
        <f t="shared" si="7"/>
        <v/>
      </c>
      <c r="G194" s="66"/>
      <c r="H194" s="67"/>
      <c r="I194" s="62" t="str">
        <f t="shared" si="8"/>
        <v/>
      </c>
    </row>
    <row r="195" spans="1:9">
      <c r="A195" s="90"/>
      <c r="B195" s="91"/>
      <c r="C195" s="62" t="str">
        <f t="shared" si="6"/>
        <v/>
      </c>
      <c r="D195" s="66"/>
      <c r="E195" s="67"/>
      <c r="F195" s="62" t="str">
        <f t="shared" si="7"/>
        <v/>
      </c>
      <c r="G195" s="66"/>
      <c r="H195" s="67"/>
      <c r="I195" s="62" t="str">
        <f t="shared" si="8"/>
        <v/>
      </c>
    </row>
    <row r="196" spans="1:9">
      <c r="A196" s="90"/>
      <c r="B196" s="91"/>
      <c r="C196" s="62" t="str">
        <f t="shared" si="6"/>
        <v/>
      </c>
      <c r="D196" s="66"/>
      <c r="E196" s="67"/>
      <c r="F196" s="62" t="str">
        <f t="shared" si="7"/>
        <v/>
      </c>
      <c r="G196" s="66"/>
      <c r="H196" s="67"/>
      <c r="I196" s="62" t="str">
        <f t="shared" si="8"/>
        <v/>
      </c>
    </row>
    <row r="197" spans="1:9">
      <c r="A197" s="90"/>
      <c r="B197" s="91"/>
      <c r="C197" s="62" t="str">
        <f t="shared" ref="C197:C260" si="9">IF(B197&gt;0,TEXT(B197,"(aaa)"),"")</f>
        <v/>
      </c>
      <c r="D197" s="66"/>
      <c r="E197" s="67"/>
      <c r="F197" s="62" t="str">
        <f t="shared" ref="F197:F260" si="10">IF(E197&gt;0,TEXT(E197,"(aaa)"),"")</f>
        <v/>
      </c>
      <c r="G197" s="66"/>
      <c r="H197" s="67"/>
      <c r="I197" s="62" t="str">
        <f t="shared" ref="I197:I260" si="11">IF(H197&gt;0,TEXT(H197,"(aaa)"),"")</f>
        <v/>
      </c>
    </row>
    <row r="198" spans="1:9">
      <c r="A198" s="90"/>
      <c r="B198" s="91"/>
      <c r="C198" s="62" t="str">
        <f t="shared" si="9"/>
        <v/>
      </c>
      <c r="D198" s="66"/>
      <c r="E198" s="67"/>
      <c r="F198" s="62" t="str">
        <f t="shared" si="10"/>
        <v/>
      </c>
      <c r="G198" s="66"/>
      <c r="H198" s="67"/>
      <c r="I198" s="62" t="str">
        <f t="shared" si="11"/>
        <v/>
      </c>
    </row>
    <row r="199" spans="1:9">
      <c r="A199" s="90"/>
      <c r="B199" s="91"/>
      <c r="C199" s="62" t="str">
        <f t="shared" si="9"/>
        <v/>
      </c>
      <c r="D199" s="66"/>
      <c r="E199" s="67"/>
      <c r="F199" s="62" t="str">
        <f t="shared" si="10"/>
        <v/>
      </c>
      <c r="G199" s="66"/>
      <c r="H199" s="67"/>
      <c r="I199" s="62" t="str">
        <f t="shared" si="11"/>
        <v/>
      </c>
    </row>
    <row r="200" spans="1:9">
      <c r="A200" s="90"/>
      <c r="B200" s="91"/>
      <c r="C200" s="62" t="str">
        <f t="shared" si="9"/>
        <v/>
      </c>
      <c r="D200" s="66"/>
      <c r="E200" s="67"/>
      <c r="F200" s="62" t="str">
        <f t="shared" si="10"/>
        <v/>
      </c>
      <c r="G200" s="66"/>
      <c r="H200" s="67"/>
      <c r="I200" s="62" t="str">
        <f t="shared" si="11"/>
        <v/>
      </c>
    </row>
    <row r="201" spans="1:9">
      <c r="A201" s="90"/>
      <c r="B201" s="91"/>
      <c r="C201" s="62" t="str">
        <f t="shared" si="9"/>
        <v/>
      </c>
      <c r="D201" s="66"/>
      <c r="E201" s="67"/>
      <c r="F201" s="62" t="str">
        <f t="shared" si="10"/>
        <v/>
      </c>
      <c r="G201" s="66"/>
      <c r="H201" s="67"/>
      <c r="I201" s="62" t="str">
        <f t="shared" si="11"/>
        <v/>
      </c>
    </row>
    <row r="202" spans="1:9">
      <c r="A202" s="90"/>
      <c r="B202" s="91"/>
      <c r="C202" s="62" t="str">
        <f t="shared" si="9"/>
        <v/>
      </c>
      <c r="D202" s="66"/>
      <c r="E202" s="67"/>
      <c r="F202" s="62" t="str">
        <f t="shared" si="10"/>
        <v/>
      </c>
      <c r="G202" s="66"/>
      <c r="H202" s="67"/>
      <c r="I202" s="62" t="str">
        <f t="shared" si="11"/>
        <v/>
      </c>
    </row>
    <row r="203" spans="1:9">
      <c r="A203" s="90"/>
      <c r="B203" s="91"/>
      <c r="C203" s="62" t="str">
        <f t="shared" si="9"/>
        <v/>
      </c>
      <c r="D203" s="66"/>
      <c r="E203" s="67"/>
      <c r="F203" s="62" t="str">
        <f t="shared" si="10"/>
        <v/>
      </c>
      <c r="G203" s="66"/>
      <c r="H203" s="67"/>
      <c r="I203" s="62" t="str">
        <f t="shared" si="11"/>
        <v/>
      </c>
    </row>
    <row r="204" spans="1:9">
      <c r="A204" s="90"/>
      <c r="B204" s="91"/>
      <c r="C204" s="62" t="str">
        <f t="shared" si="9"/>
        <v/>
      </c>
      <c r="D204" s="66"/>
      <c r="E204" s="67"/>
      <c r="F204" s="62" t="str">
        <f t="shared" si="10"/>
        <v/>
      </c>
      <c r="G204" s="66"/>
      <c r="H204" s="67"/>
      <c r="I204" s="62" t="str">
        <f t="shared" si="11"/>
        <v/>
      </c>
    </row>
    <row r="205" spans="1:9">
      <c r="A205" s="90"/>
      <c r="B205" s="91"/>
      <c r="C205" s="62" t="str">
        <f t="shared" si="9"/>
        <v/>
      </c>
      <c r="D205" s="66"/>
      <c r="E205" s="67"/>
      <c r="F205" s="62" t="str">
        <f t="shared" si="10"/>
        <v/>
      </c>
      <c r="G205" s="66"/>
      <c r="H205" s="67"/>
      <c r="I205" s="62" t="str">
        <f t="shared" si="11"/>
        <v/>
      </c>
    </row>
    <row r="206" spans="1:9">
      <c r="A206" s="90"/>
      <c r="B206" s="91"/>
      <c r="C206" s="62" t="str">
        <f t="shared" si="9"/>
        <v/>
      </c>
      <c r="D206" s="66"/>
      <c r="E206" s="67"/>
      <c r="F206" s="62" t="str">
        <f t="shared" si="10"/>
        <v/>
      </c>
      <c r="G206" s="66"/>
      <c r="H206" s="67"/>
      <c r="I206" s="62" t="str">
        <f t="shared" si="11"/>
        <v/>
      </c>
    </row>
    <row r="207" spans="1:9">
      <c r="A207" s="90"/>
      <c r="B207" s="91"/>
      <c r="C207" s="62" t="str">
        <f t="shared" si="9"/>
        <v/>
      </c>
      <c r="D207" s="66"/>
      <c r="E207" s="67"/>
      <c r="F207" s="62" t="str">
        <f t="shared" si="10"/>
        <v/>
      </c>
      <c r="G207" s="66"/>
      <c r="H207" s="67"/>
      <c r="I207" s="62" t="str">
        <f t="shared" si="11"/>
        <v/>
      </c>
    </row>
    <row r="208" spans="1:9">
      <c r="A208" s="90"/>
      <c r="B208" s="91"/>
      <c r="C208" s="62" t="str">
        <f t="shared" si="9"/>
        <v/>
      </c>
      <c r="D208" s="66"/>
      <c r="E208" s="67"/>
      <c r="F208" s="62" t="str">
        <f t="shared" si="10"/>
        <v/>
      </c>
      <c r="G208" s="66"/>
      <c r="H208" s="67"/>
      <c r="I208" s="62" t="str">
        <f t="shared" si="11"/>
        <v/>
      </c>
    </row>
    <row r="209" spans="1:9">
      <c r="A209" s="90"/>
      <c r="B209" s="91"/>
      <c r="C209" s="62" t="str">
        <f t="shared" si="9"/>
        <v/>
      </c>
      <c r="D209" s="66"/>
      <c r="E209" s="67"/>
      <c r="F209" s="62" t="str">
        <f t="shared" si="10"/>
        <v/>
      </c>
      <c r="G209" s="66"/>
      <c r="H209" s="67"/>
      <c r="I209" s="62" t="str">
        <f t="shared" si="11"/>
        <v/>
      </c>
    </row>
    <row r="210" spans="1:9">
      <c r="A210" s="90"/>
      <c r="B210" s="91"/>
      <c r="C210" s="62" t="str">
        <f t="shared" si="9"/>
        <v/>
      </c>
      <c r="D210" s="66"/>
      <c r="E210" s="67"/>
      <c r="F210" s="62" t="str">
        <f t="shared" si="10"/>
        <v/>
      </c>
      <c r="G210" s="66"/>
      <c r="H210" s="67"/>
      <c r="I210" s="62" t="str">
        <f t="shared" si="11"/>
        <v/>
      </c>
    </row>
    <row r="211" spans="1:9">
      <c r="A211" s="90"/>
      <c r="B211" s="91"/>
      <c r="C211" s="62" t="str">
        <f t="shared" si="9"/>
        <v/>
      </c>
      <c r="D211" s="66"/>
      <c r="E211" s="67"/>
      <c r="F211" s="62" t="str">
        <f t="shared" si="10"/>
        <v/>
      </c>
      <c r="G211" s="66"/>
      <c r="H211" s="67"/>
      <c r="I211" s="62" t="str">
        <f t="shared" si="11"/>
        <v/>
      </c>
    </row>
    <row r="212" spans="1:9">
      <c r="A212" s="90"/>
      <c r="B212" s="91"/>
      <c r="C212" s="62" t="str">
        <f t="shared" si="9"/>
        <v/>
      </c>
      <c r="D212" s="66"/>
      <c r="E212" s="67"/>
      <c r="F212" s="62" t="str">
        <f t="shared" si="10"/>
        <v/>
      </c>
      <c r="G212" s="66"/>
      <c r="H212" s="67"/>
      <c r="I212" s="62" t="str">
        <f t="shared" si="11"/>
        <v/>
      </c>
    </row>
    <row r="213" spans="1:9">
      <c r="A213" s="90"/>
      <c r="B213" s="91"/>
      <c r="C213" s="62" t="str">
        <f t="shared" si="9"/>
        <v/>
      </c>
      <c r="D213" s="66"/>
      <c r="E213" s="67"/>
      <c r="F213" s="62" t="str">
        <f t="shared" si="10"/>
        <v/>
      </c>
      <c r="G213" s="66"/>
      <c r="H213" s="67"/>
      <c r="I213" s="62" t="str">
        <f t="shared" si="11"/>
        <v/>
      </c>
    </row>
    <row r="214" spans="1:9">
      <c r="A214" s="90"/>
      <c r="B214" s="91"/>
      <c r="C214" s="62" t="str">
        <f t="shared" si="9"/>
        <v/>
      </c>
      <c r="D214" s="66"/>
      <c r="E214" s="67"/>
      <c r="F214" s="62" t="str">
        <f t="shared" si="10"/>
        <v/>
      </c>
      <c r="G214" s="66"/>
      <c r="H214" s="67"/>
      <c r="I214" s="62" t="str">
        <f t="shared" si="11"/>
        <v/>
      </c>
    </row>
    <row r="215" spans="1:9">
      <c r="A215" s="90"/>
      <c r="B215" s="91"/>
      <c r="C215" s="62" t="str">
        <f t="shared" si="9"/>
        <v/>
      </c>
      <c r="D215" s="66"/>
      <c r="E215" s="67"/>
      <c r="F215" s="62" t="str">
        <f t="shared" si="10"/>
        <v/>
      </c>
      <c r="G215" s="66"/>
      <c r="H215" s="67"/>
      <c r="I215" s="62" t="str">
        <f t="shared" si="11"/>
        <v/>
      </c>
    </row>
    <row r="216" spans="1:9">
      <c r="A216" s="90"/>
      <c r="B216" s="91"/>
      <c r="C216" s="62" t="str">
        <f t="shared" si="9"/>
        <v/>
      </c>
      <c r="D216" s="66"/>
      <c r="E216" s="67"/>
      <c r="F216" s="62" t="str">
        <f t="shared" si="10"/>
        <v/>
      </c>
      <c r="G216" s="66"/>
      <c r="H216" s="67"/>
      <c r="I216" s="62" t="str">
        <f t="shared" si="11"/>
        <v/>
      </c>
    </row>
    <row r="217" spans="1:9">
      <c r="A217" s="90"/>
      <c r="B217" s="91"/>
      <c r="C217" s="62" t="str">
        <f t="shared" si="9"/>
        <v/>
      </c>
      <c r="D217" s="66"/>
      <c r="E217" s="67"/>
      <c r="F217" s="62" t="str">
        <f t="shared" si="10"/>
        <v/>
      </c>
      <c r="G217" s="66"/>
      <c r="H217" s="67"/>
      <c r="I217" s="62" t="str">
        <f t="shared" si="11"/>
        <v/>
      </c>
    </row>
    <row r="218" spans="1:9">
      <c r="A218" s="90"/>
      <c r="B218" s="91"/>
      <c r="C218" s="62" t="str">
        <f t="shared" si="9"/>
        <v/>
      </c>
      <c r="D218" s="66"/>
      <c r="E218" s="67"/>
      <c r="F218" s="62" t="str">
        <f t="shared" si="10"/>
        <v/>
      </c>
      <c r="G218" s="66"/>
      <c r="H218" s="67"/>
      <c r="I218" s="62" t="str">
        <f t="shared" si="11"/>
        <v/>
      </c>
    </row>
    <row r="219" spans="1:9">
      <c r="A219" s="90"/>
      <c r="B219" s="91"/>
      <c r="C219" s="62" t="str">
        <f t="shared" si="9"/>
        <v/>
      </c>
      <c r="D219" s="66"/>
      <c r="E219" s="67"/>
      <c r="F219" s="62" t="str">
        <f t="shared" si="10"/>
        <v/>
      </c>
      <c r="G219" s="66"/>
      <c r="H219" s="67"/>
      <c r="I219" s="62" t="str">
        <f t="shared" si="11"/>
        <v/>
      </c>
    </row>
    <row r="220" spans="1:9">
      <c r="A220" s="90"/>
      <c r="B220" s="91"/>
      <c r="C220" s="62" t="str">
        <f t="shared" si="9"/>
        <v/>
      </c>
      <c r="D220" s="66"/>
      <c r="E220" s="67"/>
      <c r="F220" s="62" t="str">
        <f t="shared" si="10"/>
        <v/>
      </c>
      <c r="G220" s="66"/>
      <c r="H220" s="67"/>
      <c r="I220" s="62" t="str">
        <f t="shared" si="11"/>
        <v/>
      </c>
    </row>
    <row r="221" spans="1:9">
      <c r="A221" s="90"/>
      <c r="B221" s="91"/>
      <c r="C221" s="62" t="str">
        <f t="shared" si="9"/>
        <v/>
      </c>
      <c r="D221" s="66"/>
      <c r="E221" s="67"/>
      <c r="F221" s="62" t="str">
        <f t="shared" si="10"/>
        <v/>
      </c>
      <c r="G221" s="66"/>
      <c r="H221" s="67"/>
      <c r="I221" s="62" t="str">
        <f t="shared" si="11"/>
        <v/>
      </c>
    </row>
    <row r="222" spans="1:9">
      <c r="A222" s="90"/>
      <c r="B222" s="91"/>
      <c r="C222" s="62" t="str">
        <f t="shared" si="9"/>
        <v/>
      </c>
      <c r="D222" s="66"/>
      <c r="E222" s="67"/>
      <c r="F222" s="62" t="str">
        <f t="shared" si="10"/>
        <v/>
      </c>
      <c r="G222" s="66"/>
      <c r="H222" s="67"/>
      <c r="I222" s="62" t="str">
        <f t="shared" si="11"/>
        <v/>
      </c>
    </row>
    <row r="223" spans="1:9">
      <c r="A223" s="90"/>
      <c r="B223" s="91"/>
      <c r="C223" s="62" t="str">
        <f t="shared" si="9"/>
        <v/>
      </c>
      <c r="D223" s="66"/>
      <c r="E223" s="67"/>
      <c r="F223" s="62" t="str">
        <f t="shared" si="10"/>
        <v/>
      </c>
      <c r="G223" s="66"/>
      <c r="H223" s="67"/>
      <c r="I223" s="62" t="str">
        <f t="shared" si="11"/>
        <v/>
      </c>
    </row>
    <row r="224" spans="1:9">
      <c r="A224" s="90"/>
      <c r="B224" s="91"/>
      <c r="C224" s="62" t="str">
        <f t="shared" si="9"/>
        <v/>
      </c>
      <c r="D224" s="66"/>
      <c r="E224" s="67"/>
      <c r="F224" s="62" t="str">
        <f t="shared" si="10"/>
        <v/>
      </c>
      <c r="G224" s="66"/>
      <c r="H224" s="67"/>
      <c r="I224" s="62" t="str">
        <f t="shared" si="11"/>
        <v/>
      </c>
    </row>
    <row r="225" spans="1:9">
      <c r="A225" s="90"/>
      <c r="B225" s="91"/>
      <c r="C225" s="62" t="str">
        <f t="shared" si="9"/>
        <v/>
      </c>
      <c r="D225" s="66"/>
      <c r="E225" s="67"/>
      <c r="F225" s="62" t="str">
        <f t="shared" si="10"/>
        <v/>
      </c>
      <c r="G225" s="66"/>
      <c r="H225" s="67"/>
      <c r="I225" s="62" t="str">
        <f t="shared" si="11"/>
        <v/>
      </c>
    </row>
    <row r="226" spans="1:9">
      <c r="A226" s="90"/>
      <c r="B226" s="91"/>
      <c r="C226" s="62" t="str">
        <f t="shared" si="9"/>
        <v/>
      </c>
      <c r="D226" s="66"/>
      <c r="E226" s="67"/>
      <c r="F226" s="62" t="str">
        <f t="shared" si="10"/>
        <v/>
      </c>
      <c r="G226" s="66"/>
      <c r="H226" s="67"/>
      <c r="I226" s="62" t="str">
        <f t="shared" si="11"/>
        <v/>
      </c>
    </row>
    <row r="227" spans="1:9">
      <c r="A227" s="90"/>
      <c r="B227" s="91"/>
      <c r="C227" s="62" t="str">
        <f t="shared" si="9"/>
        <v/>
      </c>
      <c r="D227" s="66"/>
      <c r="E227" s="67"/>
      <c r="F227" s="62" t="str">
        <f t="shared" si="10"/>
        <v/>
      </c>
      <c r="G227" s="66"/>
      <c r="H227" s="67"/>
      <c r="I227" s="62" t="str">
        <f t="shared" si="11"/>
        <v/>
      </c>
    </row>
    <row r="228" spans="1:9">
      <c r="A228" s="90"/>
      <c r="B228" s="91"/>
      <c r="C228" s="62" t="str">
        <f t="shared" si="9"/>
        <v/>
      </c>
      <c r="D228" s="66"/>
      <c r="E228" s="67"/>
      <c r="F228" s="62" t="str">
        <f t="shared" si="10"/>
        <v/>
      </c>
      <c r="G228" s="66"/>
      <c r="H228" s="67"/>
      <c r="I228" s="62" t="str">
        <f t="shared" si="11"/>
        <v/>
      </c>
    </row>
    <row r="229" spans="1:9">
      <c r="A229" s="90"/>
      <c r="B229" s="91"/>
      <c r="C229" s="62" t="str">
        <f t="shared" si="9"/>
        <v/>
      </c>
      <c r="D229" s="66"/>
      <c r="E229" s="67"/>
      <c r="F229" s="62" t="str">
        <f t="shared" si="10"/>
        <v/>
      </c>
      <c r="G229" s="66"/>
      <c r="H229" s="67"/>
      <c r="I229" s="62" t="str">
        <f t="shared" si="11"/>
        <v/>
      </c>
    </row>
    <row r="230" spans="1:9">
      <c r="A230" s="90"/>
      <c r="B230" s="91"/>
      <c r="C230" s="62" t="str">
        <f t="shared" si="9"/>
        <v/>
      </c>
      <c r="D230" s="66"/>
      <c r="E230" s="67"/>
      <c r="F230" s="62" t="str">
        <f t="shared" si="10"/>
        <v/>
      </c>
      <c r="G230" s="66"/>
      <c r="H230" s="67"/>
      <c r="I230" s="62" t="str">
        <f t="shared" si="11"/>
        <v/>
      </c>
    </row>
    <row r="231" spans="1:9">
      <c r="A231" s="90"/>
      <c r="B231" s="91"/>
      <c r="C231" s="62" t="str">
        <f t="shared" si="9"/>
        <v/>
      </c>
      <c r="D231" s="66"/>
      <c r="E231" s="67"/>
      <c r="F231" s="62" t="str">
        <f t="shared" si="10"/>
        <v/>
      </c>
      <c r="G231" s="66"/>
      <c r="H231" s="67"/>
      <c r="I231" s="62" t="str">
        <f t="shared" si="11"/>
        <v/>
      </c>
    </row>
    <row r="232" spans="1:9">
      <c r="A232" s="90"/>
      <c r="B232" s="91"/>
      <c r="C232" s="62" t="str">
        <f t="shared" si="9"/>
        <v/>
      </c>
      <c r="D232" s="66"/>
      <c r="E232" s="67"/>
      <c r="F232" s="62" t="str">
        <f t="shared" si="10"/>
        <v/>
      </c>
      <c r="G232" s="66"/>
      <c r="H232" s="67"/>
      <c r="I232" s="62" t="str">
        <f t="shared" si="11"/>
        <v/>
      </c>
    </row>
    <row r="233" spans="1:9">
      <c r="A233" s="90"/>
      <c r="B233" s="91"/>
      <c r="C233" s="62" t="str">
        <f t="shared" si="9"/>
        <v/>
      </c>
      <c r="D233" s="66"/>
      <c r="E233" s="67"/>
      <c r="F233" s="62" t="str">
        <f t="shared" si="10"/>
        <v/>
      </c>
      <c r="G233" s="66"/>
      <c r="H233" s="67"/>
      <c r="I233" s="62" t="str">
        <f t="shared" si="11"/>
        <v/>
      </c>
    </row>
    <row r="234" spans="1:9">
      <c r="A234" s="90"/>
      <c r="B234" s="91"/>
      <c r="C234" s="62" t="str">
        <f t="shared" si="9"/>
        <v/>
      </c>
      <c r="D234" s="66"/>
      <c r="E234" s="67"/>
      <c r="F234" s="62" t="str">
        <f t="shared" si="10"/>
        <v/>
      </c>
      <c r="G234" s="66"/>
      <c r="H234" s="67"/>
      <c r="I234" s="62" t="str">
        <f t="shared" si="11"/>
        <v/>
      </c>
    </row>
    <row r="235" spans="1:9">
      <c r="A235" s="90"/>
      <c r="B235" s="91"/>
      <c r="C235" s="62" t="str">
        <f t="shared" si="9"/>
        <v/>
      </c>
      <c r="D235" s="66"/>
      <c r="E235" s="67"/>
      <c r="F235" s="62" t="str">
        <f t="shared" si="10"/>
        <v/>
      </c>
      <c r="G235" s="66"/>
      <c r="H235" s="67"/>
      <c r="I235" s="62" t="str">
        <f t="shared" si="11"/>
        <v/>
      </c>
    </row>
    <row r="236" spans="1:9">
      <c r="A236" s="90"/>
      <c r="B236" s="91"/>
      <c r="C236" s="62" t="str">
        <f t="shared" si="9"/>
        <v/>
      </c>
      <c r="D236" s="66"/>
      <c r="E236" s="67"/>
      <c r="F236" s="62" t="str">
        <f t="shared" si="10"/>
        <v/>
      </c>
      <c r="G236" s="66"/>
      <c r="H236" s="67"/>
      <c r="I236" s="62" t="str">
        <f t="shared" si="11"/>
        <v/>
      </c>
    </row>
    <row r="237" spans="1:9">
      <c r="A237" s="90"/>
      <c r="B237" s="91"/>
      <c r="C237" s="62" t="str">
        <f t="shared" si="9"/>
        <v/>
      </c>
      <c r="D237" s="66"/>
      <c r="E237" s="67"/>
      <c r="F237" s="62" t="str">
        <f t="shared" si="10"/>
        <v/>
      </c>
      <c r="G237" s="66"/>
      <c r="H237" s="67"/>
      <c r="I237" s="62" t="str">
        <f t="shared" si="11"/>
        <v/>
      </c>
    </row>
    <row r="238" spans="1:9">
      <c r="A238" s="90"/>
      <c r="B238" s="91"/>
      <c r="C238" s="62" t="str">
        <f t="shared" si="9"/>
        <v/>
      </c>
      <c r="D238" s="66"/>
      <c r="E238" s="67"/>
      <c r="F238" s="62" t="str">
        <f t="shared" si="10"/>
        <v/>
      </c>
      <c r="G238" s="66"/>
      <c r="H238" s="67"/>
      <c r="I238" s="62" t="str">
        <f t="shared" si="11"/>
        <v/>
      </c>
    </row>
    <row r="239" spans="1:9">
      <c r="A239" s="90"/>
      <c r="B239" s="91"/>
      <c r="C239" s="62" t="str">
        <f t="shared" si="9"/>
        <v/>
      </c>
      <c r="D239" s="66"/>
      <c r="E239" s="67"/>
      <c r="F239" s="62" t="str">
        <f t="shared" si="10"/>
        <v/>
      </c>
      <c r="G239" s="66"/>
      <c r="H239" s="67"/>
      <c r="I239" s="62" t="str">
        <f t="shared" si="11"/>
        <v/>
      </c>
    </row>
    <row r="240" spans="1:9">
      <c r="A240" s="90"/>
      <c r="B240" s="91"/>
      <c r="C240" s="62" t="str">
        <f t="shared" si="9"/>
        <v/>
      </c>
      <c r="D240" s="66"/>
      <c r="E240" s="67"/>
      <c r="F240" s="62" t="str">
        <f t="shared" si="10"/>
        <v/>
      </c>
      <c r="G240" s="66"/>
      <c r="H240" s="67"/>
      <c r="I240" s="62" t="str">
        <f t="shared" si="11"/>
        <v/>
      </c>
    </row>
    <row r="241" spans="1:9">
      <c r="A241" s="90"/>
      <c r="B241" s="91"/>
      <c r="C241" s="62" t="str">
        <f t="shared" si="9"/>
        <v/>
      </c>
      <c r="D241" s="66"/>
      <c r="E241" s="67"/>
      <c r="F241" s="62" t="str">
        <f t="shared" si="10"/>
        <v/>
      </c>
      <c r="G241" s="66"/>
      <c r="H241" s="67"/>
      <c r="I241" s="62" t="str">
        <f t="shared" si="11"/>
        <v/>
      </c>
    </row>
    <row r="242" spans="1:9">
      <c r="A242" s="66"/>
      <c r="B242" s="67"/>
      <c r="C242" s="62" t="str">
        <f t="shared" si="9"/>
        <v/>
      </c>
      <c r="D242" s="66"/>
      <c r="E242" s="67"/>
      <c r="F242" s="62" t="str">
        <f t="shared" si="10"/>
        <v/>
      </c>
      <c r="G242" s="66"/>
      <c r="H242" s="67"/>
      <c r="I242" s="62" t="str">
        <f t="shared" si="11"/>
        <v/>
      </c>
    </row>
    <row r="243" spans="1:9">
      <c r="A243" s="66"/>
      <c r="B243" s="67"/>
      <c r="C243" s="62" t="str">
        <f t="shared" si="9"/>
        <v/>
      </c>
      <c r="D243" s="66"/>
      <c r="E243" s="67"/>
      <c r="F243" s="62" t="str">
        <f t="shared" si="10"/>
        <v/>
      </c>
      <c r="G243" s="66"/>
      <c r="H243" s="67"/>
      <c r="I243" s="62" t="str">
        <f t="shared" si="11"/>
        <v/>
      </c>
    </row>
    <row r="244" spans="1:9">
      <c r="A244" s="66"/>
      <c r="B244" s="67"/>
      <c r="C244" s="62" t="str">
        <f t="shared" si="9"/>
        <v/>
      </c>
      <c r="D244" s="66"/>
      <c r="E244" s="67"/>
      <c r="F244" s="62" t="str">
        <f t="shared" si="10"/>
        <v/>
      </c>
      <c r="G244" s="66"/>
      <c r="H244" s="67"/>
      <c r="I244" s="62" t="str">
        <f t="shared" si="11"/>
        <v/>
      </c>
    </row>
    <row r="245" spans="1:9">
      <c r="A245" s="66"/>
      <c r="B245" s="67"/>
      <c r="C245" s="62" t="str">
        <f t="shared" si="9"/>
        <v/>
      </c>
      <c r="D245" s="66"/>
      <c r="E245" s="67"/>
      <c r="F245" s="62" t="str">
        <f t="shared" si="10"/>
        <v/>
      </c>
      <c r="G245" s="66"/>
      <c r="H245" s="67"/>
      <c r="I245" s="62" t="str">
        <f t="shared" si="11"/>
        <v/>
      </c>
    </row>
    <row r="246" spans="1:9">
      <c r="A246" s="66"/>
      <c r="B246" s="67"/>
      <c r="C246" s="62" t="str">
        <f t="shared" si="9"/>
        <v/>
      </c>
      <c r="D246" s="66"/>
      <c r="E246" s="67"/>
      <c r="F246" s="62" t="str">
        <f t="shared" si="10"/>
        <v/>
      </c>
      <c r="G246" s="66"/>
      <c r="H246" s="67"/>
      <c r="I246" s="62" t="str">
        <f t="shared" si="11"/>
        <v/>
      </c>
    </row>
    <row r="247" spans="1:9">
      <c r="A247" s="66"/>
      <c r="B247" s="67"/>
      <c r="C247" s="62" t="str">
        <f t="shared" si="9"/>
        <v/>
      </c>
      <c r="D247" s="66"/>
      <c r="E247" s="67"/>
      <c r="F247" s="62" t="str">
        <f t="shared" si="10"/>
        <v/>
      </c>
      <c r="G247" s="66"/>
      <c r="H247" s="67"/>
      <c r="I247" s="62" t="str">
        <f t="shared" si="11"/>
        <v/>
      </c>
    </row>
    <row r="248" spans="1:9">
      <c r="A248" s="66"/>
      <c r="B248" s="67"/>
      <c r="C248" s="62" t="str">
        <f t="shared" si="9"/>
        <v/>
      </c>
      <c r="D248" s="66"/>
      <c r="E248" s="67"/>
      <c r="F248" s="62" t="str">
        <f t="shared" si="10"/>
        <v/>
      </c>
      <c r="G248" s="66"/>
      <c r="H248" s="67"/>
      <c r="I248" s="62" t="str">
        <f t="shared" si="11"/>
        <v/>
      </c>
    </row>
    <row r="249" spans="1:9">
      <c r="A249" s="66"/>
      <c r="B249" s="67"/>
      <c r="C249" s="62" t="str">
        <f t="shared" si="9"/>
        <v/>
      </c>
      <c r="D249" s="66"/>
      <c r="E249" s="67"/>
      <c r="F249" s="62" t="str">
        <f t="shared" si="10"/>
        <v/>
      </c>
      <c r="G249" s="66"/>
      <c r="H249" s="67"/>
      <c r="I249" s="62" t="str">
        <f t="shared" si="11"/>
        <v/>
      </c>
    </row>
    <row r="250" spans="1:9">
      <c r="A250" s="66"/>
      <c r="B250" s="67"/>
      <c r="C250" s="62" t="str">
        <f t="shared" si="9"/>
        <v/>
      </c>
      <c r="D250" s="66"/>
      <c r="E250" s="67"/>
      <c r="F250" s="62" t="str">
        <f t="shared" si="10"/>
        <v/>
      </c>
      <c r="G250" s="66"/>
      <c r="H250" s="67"/>
      <c r="I250" s="62" t="str">
        <f t="shared" si="11"/>
        <v/>
      </c>
    </row>
    <row r="251" spans="1:9">
      <c r="A251" s="66"/>
      <c r="B251" s="67"/>
      <c r="C251" s="62" t="str">
        <f t="shared" si="9"/>
        <v/>
      </c>
      <c r="D251" s="66"/>
      <c r="E251" s="67"/>
      <c r="F251" s="62" t="str">
        <f t="shared" si="10"/>
        <v/>
      </c>
      <c r="G251" s="66"/>
      <c r="H251" s="67"/>
      <c r="I251" s="62" t="str">
        <f t="shared" si="11"/>
        <v/>
      </c>
    </row>
    <row r="252" spans="1:9">
      <c r="A252" s="66"/>
      <c r="B252" s="67"/>
      <c r="C252" s="62" t="str">
        <f t="shared" si="9"/>
        <v/>
      </c>
      <c r="D252" s="66"/>
      <c r="E252" s="67"/>
      <c r="F252" s="62" t="str">
        <f t="shared" si="10"/>
        <v/>
      </c>
      <c r="G252" s="66"/>
      <c r="H252" s="67"/>
      <c r="I252" s="62" t="str">
        <f t="shared" si="11"/>
        <v/>
      </c>
    </row>
    <row r="253" spans="1:9">
      <c r="A253" s="66"/>
      <c r="B253" s="67"/>
      <c r="C253" s="62" t="str">
        <f t="shared" si="9"/>
        <v/>
      </c>
      <c r="D253" s="66"/>
      <c r="E253" s="67"/>
      <c r="F253" s="62" t="str">
        <f t="shared" si="10"/>
        <v/>
      </c>
      <c r="G253" s="66"/>
      <c r="H253" s="67"/>
      <c r="I253" s="62" t="str">
        <f t="shared" si="11"/>
        <v/>
      </c>
    </row>
    <row r="254" spans="1:9">
      <c r="A254" s="66"/>
      <c r="B254" s="67"/>
      <c r="C254" s="62" t="str">
        <f t="shared" si="9"/>
        <v/>
      </c>
      <c r="D254" s="66"/>
      <c r="E254" s="67"/>
      <c r="F254" s="62" t="str">
        <f t="shared" si="10"/>
        <v/>
      </c>
      <c r="G254" s="66"/>
      <c r="H254" s="67"/>
      <c r="I254" s="62" t="str">
        <f t="shared" si="11"/>
        <v/>
      </c>
    </row>
    <row r="255" spans="1:9">
      <c r="A255" s="66"/>
      <c r="B255" s="67"/>
      <c r="C255" s="62" t="str">
        <f t="shared" si="9"/>
        <v/>
      </c>
      <c r="D255" s="66"/>
      <c r="E255" s="67"/>
      <c r="F255" s="62" t="str">
        <f t="shared" si="10"/>
        <v/>
      </c>
      <c r="G255" s="66"/>
      <c r="H255" s="67"/>
      <c r="I255" s="62" t="str">
        <f t="shared" si="11"/>
        <v/>
      </c>
    </row>
    <row r="256" spans="1:9">
      <c r="A256" s="66"/>
      <c r="B256" s="67"/>
      <c r="C256" s="62" t="str">
        <f t="shared" si="9"/>
        <v/>
      </c>
      <c r="D256" s="66"/>
      <c r="E256" s="67"/>
      <c r="F256" s="62" t="str">
        <f t="shared" si="10"/>
        <v/>
      </c>
      <c r="G256" s="66"/>
      <c r="H256" s="67"/>
      <c r="I256" s="62" t="str">
        <f t="shared" si="11"/>
        <v/>
      </c>
    </row>
    <row r="257" spans="1:9">
      <c r="A257" s="66"/>
      <c r="B257" s="67"/>
      <c r="C257" s="62" t="str">
        <f t="shared" si="9"/>
        <v/>
      </c>
      <c r="D257" s="66"/>
      <c r="E257" s="67"/>
      <c r="F257" s="62" t="str">
        <f t="shared" si="10"/>
        <v/>
      </c>
      <c r="G257" s="66"/>
      <c r="H257" s="67"/>
      <c r="I257" s="62" t="str">
        <f t="shared" si="11"/>
        <v/>
      </c>
    </row>
    <row r="258" spans="1:9">
      <c r="A258" s="66"/>
      <c r="B258" s="67"/>
      <c r="C258" s="62" t="str">
        <f t="shared" si="9"/>
        <v/>
      </c>
      <c r="D258" s="66"/>
      <c r="E258" s="67"/>
      <c r="F258" s="62" t="str">
        <f t="shared" si="10"/>
        <v/>
      </c>
      <c r="G258" s="66"/>
      <c r="H258" s="67"/>
      <c r="I258" s="62" t="str">
        <f t="shared" si="11"/>
        <v/>
      </c>
    </row>
    <row r="259" spans="1:9">
      <c r="A259" s="66"/>
      <c r="B259" s="67"/>
      <c r="C259" s="62" t="str">
        <f t="shared" si="9"/>
        <v/>
      </c>
      <c r="D259" s="66"/>
      <c r="E259" s="67"/>
      <c r="F259" s="62" t="str">
        <f t="shared" si="10"/>
        <v/>
      </c>
      <c r="G259" s="66"/>
      <c r="H259" s="67"/>
      <c r="I259" s="62" t="str">
        <f t="shared" si="11"/>
        <v/>
      </c>
    </row>
    <row r="260" spans="1:9">
      <c r="A260" s="66"/>
      <c r="B260" s="67"/>
      <c r="C260" s="62" t="str">
        <f t="shared" si="9"/>
        <v/>
      </c>
      <c r="D260" s="66"/>
      <c r="E260" s="67"/>
      <c r="F260" s="62" t="str">
        <f t="shared" si="10"/>
        <v/>
      </c>
      <c r="G260" s="66"/>
      <c r="H260" s="67"/>
      <c r="I260" s="62" t="str">
        <f t="shared" si="11"/>
        <v/>
      </c>
    </row>
    <row r="261" spans="1:9">
      <c r="A261" s="66"/>
      <c r="B261" s="67"/>
      <c r="C261" s="62" t="str">
        <f t="shared" ref="C261:C304" si="12">IF(B261&gt;0,TEXT(B261,"(aaa)"),"")</f>
        <v/>
      </c>
      <c r="D261" s="66"/>
      <c r="E261" s="67"/>
      <c r="F261" s="62" t="str">
        <f t="shared" ref="F261:F304" si="13">IF(E261&gt;0,TEXT(E261,"(aaa)"),"")</f>
        <v/>
      </c>
      <c r="G261" s="66"/>
      <c r="H261" s="67"/>
      <c r="I261" s="62" t="str">
        <f t="shared" ref="I261:I304" si="14">IF(H261&gt;0,TEXT(H261,"(aaa)"),"")</f>
        <v/>
      </c>
    </row>
    <row r="262" spans="1:9">
      <c r="A262" s="66"/>
      <c r="B262" s="67"/>
      <c r="C262" s="62" t="str">
        <f t="shared" si="12"/>
        <v/>
      </c>
      <c r="D262" s="66"/>
      <c r="E262" s="67"/>
      <c r="F262" s="62" t="str">
        <f t="shared" si="13"/>
        <v/>
      </c>
      <c r="G262" s="66"/>
      <c r="H262" s="67"/>
      <c r="I262" s="62" t="str">
        <f t="shared" si="14"/>
        <v/>
      </c>
    </row>
    <row r="263" spans="1:9">
      <c r="A263" s="66"/>
      <c r="B263" s="67"/>
      <c r="C263" s="62" t="str">
        <f t="shared" si="12"/>
        <v/>
      </c>
      <c r="D263" s="66"/>
      <c r="E263" s="67"/>
      <c r="F263" s="62" t="str">
        <f t="shared" si="13"/>
        <v/>
      </c>
      <c r="G263" s="66"/>
      <c r="H263" s="67"/>
      <c r="I263" s="62" t="str">
        <f t="shared" si="14"/>
        <v/>
      </c>
    </row>
    <row r="264" spans="1:9">
      <c r="A264" s="66"/>
      <c r="B264" s="67"/>
      <c r="C264" s="62" t="str">
        <f t="shared" si="12"/>
        <v/>
      </c>
      <c r="D264" s="66"/>
      <c r="E264" s="67"/>
      <c r="F264" s="62" t="str">
        <f t="shared" si="13"/>
        <v/>
      </c>
      <c r="G264" s="66"/>
      <c r="H264" s="67"/>
      <c r="I264" s="62" t="str">
        <f t="shared" si="14"/>
        <v/>
      </c>
    </row>
    <row r="265" spans="1:9">
      <c r="A265" s="66"/>
      <c r="B265" s="67"/>
      <c r="C265" s="62" t="str">
        <f t="shared" si="12"/>
        <v/>
      </c>
      <c r="D265" s="66"/>
      <c r="E265" s="67"/>
      <c r="F265" s="62" t="str">
        <f t="shared" si="13"/>
        <v/>
      </c>
      <c r="G265" s="66"/>
      <c r="H265" s="67"/>
      <c r="I265" s="62" t="str">
        <f t="shared" si="14"/>
        <v/>
      </c>
    </row>
    <row r="266" spans="1:9">
      <c r="A266" s="66"/>
      <c r="B266" s="67"/>
      <c r="C266" s="62" t="str">
        <f t="shared" si="12"/>
        <v/>
      </c>
      <c r="D266" s="66"/>
      <c r="E266" s="67"/>
      <c r="F266" s="62" t="str">
        <f t="shared" si="13"/>
        <v/>
      </c>
      <c r="G266" s="66"/>
      <c r="H266" s="67"/>
      <c r="I266" s="62" t="str">
        <f t="shared" si="14"/>
        <v/>
      </c>
    </row>
    <row r="267" spans="1:9">
      <c r="A267" s="66"/>
      <c r="B267" s="67"/>
      <c r="C267" s="62" t="str">
        <f t="shared" si="12"/>
        <v/>
      </c>
      <c r="D267" s="66"/>
      <c r="E267" s="67"/>
      <c r="F267" s="62" t="str">
        <f t="shared" si="13"/>
        <v/>
      </c>
      <c r="G267" s="66"/>
      <c r="H267" s="67"/>
      <c r="I267" s="62" t="str">
        <f t="shared" si="14"/>
        <v/>
      </c>
    </row>
    <row r="268" spans="1:9">
      <c r="A268" s="66"/>
      <c r="B268" s="67"/>
      <c r="C268" s="62" t="str">
        <f t="shared" si="12"/>
        <v/>
      </c>
      <c r="D268" s="66"/>
      <c r="E268" s="67"/>
      <c r="F268" s="62" t="str">
        <f t="shared" si="13"/>
        <v/>
      </c>
      <c r="G268" s="66"/>
      <c r="H268" s="67"/>
      <c r="I268" s="62" t="str">
        <f t="shared" si="14"/>
        <v/>
      </c>
    </row>
    <row r="269" spans="1:9">
      <c r="A269" s="66"/>
      <c r="B269" s="67"/>
      <c r="C269" s="62" t="str">
        <f t="shared" si="12"/>
        <v/>
      </c>
      <c r="D269" s="66"/>
      <c r="E269" s="67"/>
      <c r="F269" s="62" t="str">
        <f t="shared" si="13"/>
        <v/>
      </c>
      <c r="G269" s="66"/>
      <c r="H269" s="67"/>
      <c r="I269" s="62" t="str">
        <f t="shared" si="14"/>
        <v/>
      </c>
    </row>
    <row r="270" spans="1:9">
      <c r="A270" s="66"/>
      <c r="B270" s="67"/>
      <c r="C270" s="62" t="str">
        <f t="shared" si="12"/>
        <v/>
      </c>
      <c r="D270" s="66"/>
      <c r="E270" s="67"/>
      <c r="F270" s="62" t="str">
        <f t="shared" si="13"/>
        <v/>
      </c>
      <c r="G270" s="66"/>
      <c r="H270" s="67"/>
      <c r="I270" s="62" t="str">
        <f t="shared" si="14"/>
        <v/>
      </c>
    </row>
    <row r="271" spans="1:9">
      <c r="A271" s="66"/>
      <c r="B271" s="67"/>
      <c r="C271" s="62" t="str">
        <f t="shared" si="12"/>
        <v/>
      </c>
      <c r="D271" s="66"/>
      <c r="E271" s="67"/>
      <c r="F271" s="62" t="str">
        <f t="shared" si="13"/>
        <v/>
      </c>
      <c r="G271" s="66"/>
      <c r="H271" s="67"/>
      <c r="I271" s="62" t="str">
        <f t="shared" si="14"/>
        <v/>
      </c>
    </row>
    <row r="272" spans="1:9">
      <c r="A272" s="66"/>
      <c r="B272" s="67"/>
      <c r="C272" s="62" t="str">
        <f t="shared" si="12"/>
        <v/>
      </c>
      <c r="D272" s="66"/>
      <c r="E272" s="67"/>
      <c r="F272" s="62" t="str">
        <f t="shared" si="13"/>
        <v/>
      </c>
      <c r="G272" s="66"/>
      <c r="H272" s="67"/>
      <c r="I272" s="62" t="str">
        <f t="shared" si="14"/>
        <v/>
      </c>
    </row>
    <row r="273" spans="1:9">
      <c r="A273" s="66"/>
      <c r="B273" s="67"/>
      <c r="C273" s="62" t="str">
        <f t="shared" si="12"/>
        <v/>
      </c>
      <c r="D273" s="66"/>
      <c r="E273" s="67"/>
      <c r="F273" s="62" t="str">
        <f t="shared" si="13"/>
        <v/>
      </c>
      <c r="G273" s="66"/>
      <c r="H273" s="67"/>
      <c r="I273" s="62" t="str">
        <f t="shared" si="14"/>
        <v/>
      </c>
    </row>
    <row r="274" spans="1:9">
      <c r="A274" s="66"/>
      <c r="B274" s="67"/>
      <c r="C274" s="62" t="str">
        <f t="shared" si="12"/>
        <v/>
      </c>
      <c r="D274" s="66"/>
      <c r="E274" s="67"/>
      <c r="F274" s="62" t="str">
        <f t="shared" si="13"/>
        <v/>
      </c>
      <c r="G274" s="66"/>
      <c r="H274" s="67"/>
      <c r="I274" s="62" t="str">
        <f t="shared" si="14"/>
        <v/>
      </c>
    </row>
    <row r="275" spans="1:9">
      <c r="A275" s="66"/>
      <c r="B275" s="67"/>
      <c r="C275" s="62" t="str">
        <f t="shared" si="12"/>
        <v/>
      </c>
      <c r="D275" s="66"/>
      <c r="E275" s="67"/>
      <c r="F275" s="62" t="str">
        <f t="shared" si="13"/>
        <v/>
      </c>
      <c r="G275" s="66"/>
      <c r="H275" s="67"/>
      <c r="I275" s="62" t="str">
        <f t="shared" si="14"/>
        <v/>
      </c>
    </row>
    <row r="276" spans="1:9">
      <c r="A276" s="66"/>
      <c r="B276" s="67"/>
      <c r="C276" s="62" t="str">
        <f t="shared" si="12"/>
        <v/>
      </c>
      <c r="D276" s="66"/>
      <c r="E276" s="67"/>
      <c r="F276" s="62" t="str">
        <f t="shared" si="13"/>
        <v/>
      </c>
      <c r="G276" s="66"/>
      <c r="H276" s="67"/>
      <c r="I276" s="62" t="str">
        <f t="shared" si="14"/>
        <v/>
      </c>
    </row>
    <row r="277" spans="1:9">
      <c r="A277" s="66"/>
      <c r="B277" s="67"/>
      <c r="C277" s="62" t="str">
        <f t="shared" si="12"/>
        <v/>
      </c>
      <c r="D277" s="66"/>
      <c r="E277" s="67"/>
      <c r="F277" s="62" t="str">
        <f t="shared" si="13"/>
        <v/>
      </c>
      <c r="G277" s="66"/>
      <c r="H277" s="67"/>
      <c r="I277" s="62" t="str">
        <f t="shared" si="14"/>
        <v/>
      </c>
    </row>
    <row r="278" spans="1:9">
      <c r="A278" s="66"/>
      <c r="B278" s="67"/>
      <c r="C278" s="62" t="str">
        <f t="shared" si="12"/>
        <v/>
      </c>
      <c r="D278" s="66"/>
      <c r="E278" s="67"/>
      <c r="F278" s="62" t="str">
        <f t="shared" si="13"/>
        <v/>
      </c>
      <c r="G278" s="66"/>
      <c r="H278" s="67"/>
      <c r="I278" s="62" t="str">
        <f t="shared" si="14"/>
        <v/>
      </c>
    </row>
    <row r="279" spans="1:9">
      <c r="A279" s="66"/>
      <c r="B279" s="67"/>
      <c r="C279" s="62" t="str">
        <f t="shared" si="12"/>
        <v/>
      </c>
      <c r="D279" s="66"/>
      <c r="E279" s="67"/>
      <c r="F279" s="62" t="str">
        <f t="shared" si="13"/>
        <v/>
      </c>
      <c r="G279" s="66"/>
      <c r="H279" s="67"/>
      <c r="I279" s="62" t="str">
        <f t="shared" si="14"/>
        <v/>
      </c>
    </row>
    <row r="280" spans="1:9">
      <c r="A280" s="66"/>
      <c r="B280" s="67"/>
      <c r="C280" s="62" t="str">
        <f t="shared" si="12"/>
        <v/>
      </c>
      <c r="D280" s="66"/>
      <c r="E280" s="67"/>
      <c r="F280" s="62" t="str">
        <f t="shared" si="13"/>
        <v/>
      </c>
      <c r="G280" s="66"/>
      <c r="H280" s="67"/>
      <c r="I280" s="62" t="str">
        <f t="shared" si="14"/>
        <v/>
      </c>
    </row>
    <row r="281" spans="1:9">
      <c r="A281" s="66"/>
      <c r="B281" s="67"/>
      <c r="C281" s="62" t="str">
        <f t="shared" si="12"/>
        <v/>
      </c>
      <c r="D281" s="66"/>
      <c r="E281" s="67"/>
      <c r="F281" s="62" t="str">
        <f t="shared" si="13"/>
        <v/>
      </c>
      <c r="G281" s="66"/>
      <c r="H281" s="67"/>
      <c r="I281" s="62" t="str">
        <f t="shared" si="14"/>
        <v/>
      </c>
    </row>
    <row r="282" spans="1:9">
      <c r="A282" s="66"/>
      <c r="B282" s="67"/>
      <c r="C282" s="62" t="str">
        <f t="shared" si="12"/>
        <v/>
      </c>
      <c r="D282" s="66"/>
      <c r="E282" s="67"/>
      <c r="F282" s="62" t="str">
        <f t="shared" si="13"/>
        <v/>
      </c>
      <c r="G282" s="66"/>
      <c r="H282" s="67"/>
      <c r="I282" s="62" t="str">
        <f t="shared" si="14"/>
        <v/>
      </c>
    </row>
    <row r="283" spans="1:9">
      <c r="A283" s="66"/>
      <c r="B283" s="67"/>
      <c r="C283" s="62" t="str">
        <f t="shared" si="12"/>
        <v/>
      </c>
      <c r="D283" s="66"/>
      <c r="E283" s="67"/>
      <c r="F283" s="62" t="str">
        <f t="shared" si="13"/>
        <v/>
      </c>
      <c r="G283" s="66"/>
      <c r="H283" s="67"/>
      <c r="I283" s="62" t="str">
        <f t="shared" si="14"/>
        <v/>
      </c>
    </row>
    <row r="284" spans="1:9">
      <c r="A284" s="66"/>
      <c r="B284" s="67"/>
      <c r="C284" s="62" t="str">
        <f t="shared" si="12"/>
        <v/>
      </c>
      <c r="D284" s="66"/>
      <c r="E284" s="67"/>
      <c r="F284" s="62" t="str">
        <f t="shared" si="13"/>
        <v/>
      </c>
      <c r="G284" s="66"/>
      <c r="H284" s="67"/>
      <c r="I284" s="62" t="str">
        <f t="shared" si="14"/>
        <v/>
      </c>
    </row>
    <row r="285" spans="1:9">
      <c r="A285" s="66"/>
      <c r="B285" s="67"/>
      <c r="C285" s="62" t="str">
        <f t="shared" si="12"/>
        <v/>
      </c>
      <c r="D285" s="66"/>
      <c r="E285" s="67"/>
      <c r="F285" s="62" t="str">
        <f t="shared" si="13"/>
        <v/>
      </c>
      <c r="G285" s="66"/>
      <c r="H285" s="67"/>
      <c r="I285" s="62" t="str">
        <f t="shared" si="14"/>
        <v/>
      </c>
    </row>
    <row r="286" spans="1:9">
      <c r="A286" s="66"/>
      <c r="B286" s="67"/>
      <c r="C286" s="62" t="str">
        <f t="shared" si="12"/>
        <v/>
      </c>
      <c r="D286" s="66"/>
      <c r="E286" s="67"/>
      <c r="F286" s="62" t="str">
        <f t="shared" si="13"/>
        <v/>
      </c>
      <c r="G286" s="66"/>
      <c r="H286" s="67"/>
      <c r="I286" s="62" t="str">
        <f t="shared" si="14"/>
        <v/>
      </c>
    </row>
    <row r="287" spans="1:9">
      <c r="A287" s="66"/>
      <c r="B287" s="67"/>
      <c r="C287" s="62" t="str">
        <f t="shared" si="12"/>
        <v/>
      </c>
      <c r="D287" s="66"/>
      <c r="E287" s="67"/>
      <c r="F287" s="62" t="str">
        <f t="shared" si="13"/>
        <v/>
      </c>
      <c r="G287" s="66"/>
      <c r="H287" s="67"/>
      <c r="I287" s="62" t="str">
        <f t="shared" si="14"/>
        <v/>
      </c>
    </row>
    <row r="288" spans="1:9">
      <c r="A288" s="66"/>
      <c r="B288" s="67"/>
      <c r="C288" s="62" t="str">
        <f t="shared" si="12"/>
        <v/>
      </c>
      <c r="D288" s="66"/>
      <c r="E288" s="67"/>
      <c r="F288" s="62" t="str">
        <f t="shared" si="13"/>
        <v/>
      </c>
      <c r="G288" s="66"/>
      <c r="H288" s="67"/>
      <c r="I288" s="62" t="str">
        <f t="shared" si="14"/>
        <v/>
      </c>
    </row>
    <row r="289" spans="1:9">
      <c r="A289" s="66"/>
      <c r="B289" s="67"/>
      <c r="C289" s="62" t="str">
        <f t="shared" si="12"/>
        <v/>
      </c>
      <c r="D289" s="66"/>
      <c r="E289" s="67"/>
      <c r="F289" s="62" t="str">
        <f t="shared" si="13"/>
        <v/>
      </c>
      <c r="G289" s="66"/>
      <c r="H289" s="67"/>
      <c r="I289" s="62" t="str">
        <f t="shared" si="14"/>
        <v/>
      </c>
    </row>
    <row r="290" spans="1:9">
      <c r="A290" s="66"/>
      <c r="B290" s="67"/>
      <c r="C290" s="62" t="str">
        <f t="shared" si="12"/>
        <v/>
      </c>
      <c r="D290" s="66"/>
      <c r="E290" s="67"/>
      <c r="F290" s="62" t="str">
        <f t="shared" si="13"/>
        <v/>
      </c>
      <c r="G290" s="66"/>
      <c r="H290" s="67"/>
      <c r="I290" s="62" t="str">
        <f t="shared" si="14"/>
        <v/>
      </c>
    </row>
    <row r="291" spans="1:9">
      <c r="A291" s="66"/>
      <c r="B291" s="67"/>
      <c r="C291" s="62" t="str">
        <f t="shared" si="12"/>
        <v/>
      </c>
      <c r="D291" s="66"/>
      <c r="E291" s="67"/>
      <c r="F291" s="62" t="str">
        <f t="shared" si="13"/>
        <v/>
      </c>
      <c r="G291" s="66"/>
      <c r="H291" s="67"/>
      <c r="I291" s="62" t="str">
        <f t="shared" si="14"/>
        <v/>
      </c>
    </row>
    <row r="292" spans="1:9">
      <c r="A292" s="66"/>
      <c r="B292" s="67"/>
      <c r="C292" s="62" t="str">
        <f t="shared" si="12"/>
        <v/>
      </c>
      <c r="D292" s="66"/>
      <c r="E292" s="67"/>
      <c r="F292" s="62" t="str">
        <f t="shared" si="13"/>
        <v/>
      </c>
      <c r="G292" s="66"/>
      <c r="H292" s="67"/>
      <c r="I292" s="62" t="str">
        <f t="shared" si="14"/>
        <v/>
      </c>
    </row>
    <row r="293" spans="1:9">
      <c r="A293" s="66"/>
      <c r="B293" s="67"/>
      <c r="C293" s="62" t="str">
        <f t="shared" si="12"/>
        <v/>
      </c>
      <c r="D293" s="66"/>
      <c r="E293" s="67"/>
      <c r="F293" s="62" t="str">
        <f t="shared" si="13"/>
        <v/>
      </c>
      <c r="G293" s="66"/>
      <c r="H293" s="67"/>
      <c r="I293" s="62" t="str">
        <f t="shared" si="14"/>
        <v/>
      </c>
    </row>
    <row r="294" spans="1:9">
      <c r="A294" s="66"/>
      <c r="B294" s="67"/>
      <c r="C294" s="62" t="str">
        <f t="shared" si="12"/>
        <v/>
      </c>
      <c r="D294" s="66"/>
      <c r="E294" s="67"/>
      <c r="F294" s="62" t="str">
        <f t="shared" si="13"/>
        <v/>
      </c>
      <c r="G294" s="66"/>
      <c r="H294" s="67"/>
      <c r="I294" s="62" t="str">
        <f t="shared" si="14"/>
        <v/>
      </c>
    </row>
    <row r="295" spans="1:9">
      <c r="A295" s="66"/>
      <c r="B295" s="67"/>
      <c r="C295" s="62" t="str">
        <f t="shared" si="12"/>
        <v/>
      </c>
      <c r="D295" s="66"/>
      <c r="E295" s="67"/>
      <c r="F295" s="62" t="str">
        <f t="shared" si="13"/>
        <v/>
      </c>
      <c r="G295" s="66"/>
      <c r="H295" s="67"/>
      <c r="I295" s="62" t="str">
        <f t="shared" si="14"/>
        <v/>
      </c>
    </row>
    <row r="296" spans="1:9">
      <c r="A296" s="66"/>
      <c r="B296" s="67"/>
      <c r="C296" s="62" t="str">
        <f t="shared" si="12"/>
        <v/>
      </c>
      <c r="D296" s="66"/>
      <c r="E296" s="67"/>
      <c r="F296" s="62" t="str">
        <f t="shared" si="13"/>
        <v/>
      </c>
      <c r="G296" s="66"/>
      <c r="H296" s="67"/>
      <c r="I296" s="62" t="str">
        <f t="shared" si="14"/>
        <v/>
      </c>
    </row>
    <row r="297" spans="1:9">
      <c r="A297" s="66"/>
      <c r="B297" s="67"/>
      <c r="C297" s="62" t="str">
        <f t="shared" si="12"/>
        <v/>
      </c>
      <c r="D297" s="66"/>
      <c r="E297" s="67"/>
      <c r="F297" s="62" t="str">
        <f t="shared" si="13"/>
        <v/>
      </c>
      <c r="G297" s="66"/>
      <c r="H297" s="67"/>
      <c r="I297" s="62" t="str">
        <f t="shared" si="14"/>
        <v/>
      </c>
    </row>
    <row r="298" spans="1:9">
      <c r="A298" s="66"/>
      <c r="B298" s="67"/>
      <c r="C298" s="62" t="str">
        <f t="shared" si="12"/>
        <v/>
      </c>
      <c r="D298" s="66"/>
      <c r="E298" s="67"/>
      <c r="F298" s="62" t="str">
        <f t="shared" si="13"/>
        <v/>
      </c>
      <c r="G298" s="66"/>
      <c r="H298" s="67"/>
      <c r="I298" s="62" t="str">
        <f t="shared" si="14"/>
        <v/>
      </c>
    </row>
    <row r="299" spans="1:9">
      <c r="A299" s="66"/>
      <c r="B299" s="67"/>
      <c r="C299" s="62" t="str">
        <f t="shared" si="12"/>
        <v/>
      </c>
      <c r="D299" s="66"/>
      <c r="E299" s="67"/>
      <c r="F299" s="62" t="str">
        <f t="shared" si="13"/>
        <v/>
      </c>
      <c r="G299" s="66"/>
      <c r="H299" s="67"/>
      <c r="I299" s="62" t="str">
        <f t="shared" si="14"/>
        <v/>
      </c>
    </row>
    <row r="300" spans="1:9">
      <c r="A300" s="66"/>
      <c r="B300" s="67"/>
      <c r="C300" s="62" t="str">
        <f t="shared" si="12"/>
        <v/>
      </c>
      <c r="D300" s="66"/>
      <c r="E300" s="67"/>
      <c r="F300" s="62" t="str">
        <f t="shared" si="13"/>
        <v/>
      </c>
      <c r="G300" s="66"/>
      <c r="H300" s="67"/>
      <c r="I300" s="62" t="str">
        <f t="shared" si="14"/>
        <v/>
      </c>
    </row>
    <row r="301" spans="1:9">
      <c r="A301" s="66"/>
      <c r="B301" s="67"/>
      <c r="C301" s="62" t="str">
        <f t="shared" si="12"/>
        <v/>
      </c>
      <c r="D301" s="66"/>
      <c r="E301" s="67"/>
      <c r="F301" s="62" t="str">
        <f t="shared" si="13"/>
        <v/>
      </c>
      <c r="G301" s="66"/>
      <c r="H301" s="67"/>
      <c r="I301" s="62" t="str">
        <f t="shared" si="14"/>
        <v/>
      </c>
    </row>
    <row r="302" spans="1:9">
      <c r="A302" s="66"/>
      <c r="B302" s="69"/>
      <c r="C302" s="62" t="str">
        <f t="shared" si="12"/>
        <v/>
      </c>
      <c r="D302" s="66"/>
      <c r="E302" s="69"/>
      <c r="F302" s="62" t="str">
        <f t="shared" si="13"/>
        <v/>
      </c>
      <c r="G302" s="66"/>
      <c r="H302" s="69"/>
      <c r="I302" s="62" t="str">
        <f t="shared" si="14"/>
        <v/>
      </c>
    </row>
    <row r="303" spans="1:9">
      <c r="A303" s="66"/>
      <c r="B303" s="69"/>
      <c r="C303" s="62" t="str">
        <f t="shared" si="12"/>
        <v/>
      </c>
      <c r="D303" s="66"/>
      <c r="E303" s="69"/>
      <c r="F303" s="62" t="str">
        <f t="shared" si="13"/>
        <v/>
      </c>
      <c r="G303" s="66"/>
      <c r="H303" s="69"/>
      <c r="I303" s="62" t="str">
        <f t="shared" si="14"/>
        <v/>
      </c>
    </row>
    <row r="304" spans="1:9">
      <c r="A304" s="66"/>
      <c r="B304" s="69"/>
      <c r="C304" s="62" t="str">
        <f t="shared" si="12"/>
        <v/>
      </c>
      <c r="D304" s="66"/>
      <c r="E304" s="69"/>
      <c r="F304" s="62" t="str">
        <f t="shared" si="13"/>
        <v/>
      </c>
      <c r="G304" s="66"/>
      <c r="H304" s="69"/>
      <c r="I304" s="62" t="str">
        <f t="shared" si="14"/>
        <v/>
      </c>
    </row>
    <row r="305" spans="1:7">
      <c r="A305" s="62" t="s">
        <v>782</v>
      </c>
      <c r="D305" s="62" t="s">
        <v>782</v>
      </c>
      <c r="G305" s="62" t="s">
        <v>782</v>
      </c>
    </row>
  </sheetData>
  <mergeCells count="4">
    <mergeCell ref="A2:H2"/>
    <mergeCell ref="A3:B3"/>
    <mergeCell ref="D3:E3"/>
    <mergeCell ref="G3:H3"/>
  </mergeCells>
  <phoneticPr fontId="40" type="noConversion"/>
  <pageMargins left="0.75" right="0.75" top="1" bottom="1" header="0.5" footer="0.5"/>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B3:K32"/>
  <sheetViews>
    <sheetView topLeftCell="A10" zoomScaleNormal="100" zoomScaleSheetLayoutView="75" workbookViewId="0">
      <selection activeCell="J26" sqref="J26"/>
    </sheetView>
  </sheetViews>
  <sheetFormatPr defaultColWidth="9" defaultRowHeight="16.5"/>
  <cols>
    <col min="10" max="10" width="26.375" bestFit="1" customWidth="1"/>
    <col min="11" max="11" width="36.125" customWidth="1"/>
  </cols>
  <sheetData>
    <row r="3" spans="2:11" ht="49.5">
      <c r="J3" s="158" t="s">
        <v>1199</v>
      </c>
      <c r="K3" s="157" t="s">
        <v>152</v>
      </c>
    </row>
    <row r="4" spans="2:11">
      <c r="J4" s="209" t="s">
        <v>1211</v>
      </c>
      <c r="K4" s="209"/>
    </row>
    <row r="5" spans="2:11" ht="55.5" customHeight="1">
      <c r="B5" s="209"/>
      <c r="C5" s="209"/>
      <c r="D5" s="209"/>
      <c r="E5" s="209"/>
      <c r="F5" s="209"/>
      <c r="G5" s="209"/>
      <c r="J5" s="210" t="s">
        <v>1165</v>
      </c>
      <c r="K5" s="210"/>
    </row>
    <row r="6" spans="2:11" ht="66">
      <c r="J6" s="158" t="s">
        <v>511</v>
      </c>
      <c r="K6" s="158" t="s">
        <v>162</v>
      </c>
    </row>
    <row r="7" spans="2:11">
      <c r="B7" s="209"/>
      <c r="C7" s="209"/>
      <c r="D7" s="209"/>
      <c r="E7" s="209"/>
      <c r="F7" s="209"/>
      <c r="G7" s="209"/>
      <c r="J7" s="157" t="s">
        <v>459</v>
      </c>
      <c r="K7" s="157" t="s">
        <v>818</v>
      </c>
    </row>
    <row r="9" spans="2:11">
      <c r="B9" s="209"/>
      <c r="C9" s="209"/>
      <c r="D9" s="209"/>
      <c r="E9" s="209"/>
      <c r="F9" s="209"/>
      <c r="G9" s="209"/>
      <c r="J9" s="209"/>
      <c r="K9" s="209"/>
    </row>
    <row r="11" spans="2:11">
      <c r="B11" s="209"/>
      <c r="C11" s="209"/>
      <c r="D11" s="209"/>
      <c r="E11" s="209"/>
      <c r="F11" s="209"/>
      <c r="G11" s="209"/>
    </row>
    <row r="13" spans="2:11">
      <c r="B13" s="209"/>
      <c r="C13" s="209"/>
      <c r="D13" s="209"/>
      <c r="E13" s="209"/>
      <c r="F13" s="209"/>
      <c r="G13" s="209"/>
    </row>
    <row r="15" spans="2:11">
      <c r="B15" s="209"/>
      <c r="C15" s="209"/>
      <c r="D15" s="209"/>
      <c r="E15" s="209"/>
      <c r="F15" s="209"/>
      <c r="G15" s="209"/>
      <c r="J15" t="s">
        <v>496</v>
      </c>
    </row>
    <row r="19" spans="2:8">
      <c r="H19" t="s">
        <v>1123</v>
      </c>
    </row>
    <row r="21" spans="2:8">
      <c r="B21" t="s">
        <v>917</v>
      </c>
      <c r="C21" t="s">
        <v>925</v>
      </c>
      <c r="D21" t="s">
        <v>930</v>
      </c>
      <c r="E21" t="s">
        <v>902</v>
      </c>
      <c r="F21" t="s">
        <v>909</v>
      </c>
      <c r="G21" t="s">
        <v>932</v>
      </c>
      <c r="H21" t="s">
        <v>898</v>
      </c>
    </row>
    <row r="22" spans="2:8">
      <c r="B22" s="209" t="s">
        <v>820</v>
      </c>
      <c r="C22" s="209"/>
      <c r="D22" s="209"/>
      <c r="E22" s="209"/>
      <c r="F22" s="209"/>
      <c r="G22" s="209"/>
    </row>
    <row r="23" spans="2:8">
      <c r="B23" t="s">
        <v>901</v>
      </c>
      <c r="C23" t="s">
        <v>899</v>
      </c>
      <c r="D23" t="s">
        <v>921</v>
      </c>
      <c r="E23" t="s">
        <v>905</v>
      </c>
      <c r="F23" t="s">
        <v>900</v>
      </c>
      <c r="G23" t="s">
        <v>908</v>
      </c>
      <c r="H23" t="s">
        <v>912</v>
      </c>
    </row>
    <row r="24" spans="2:8">
      <c r="B24" s="209" t="s">
        <v>182</v>
      </c>
      <c r="C24" s="209"/>
      <c r="D24" s="209"/>
      <c r="E24" s="209"/>
      <c r="F24" s="209"/>
      <c r="G24" s="209"/>
      <c r="H24" t="s">
        <v>529</v>
      </c>
    </row>
    <row r="25" spans="2:8">
      <c r="B25" t="s">
        <v>940</v>
      </c>
      <c r="C25" t="s">
        <v>927</v>
      </c>
      <c r="D25" t="s">
        <v>931</v>
      </c>
      <c r="E25" t="s">
        <v>963</v>
      </c>
      <c r="F25" t="s">
        <v>937</v>
      </c>
      <c r="G25" t="s">
        <v>938</v>
      </c>
      <c r="H25" t="s">
        <v>939</v>
      </c>
    </row>
    <row r="26" spans="2:8">
      <c r="B26" s="209" t="s">
        <v>182</v>
      </c>
      <c r="C26" s="209"/>
      <c r="D26" s="209"/>
      <c r="E26" s="209"/>
      <c r="F26" s="209"/>
      <c r="G26" s="209"/>
      <c r="H26" t="s">
        <v>529</v>
      </c>
    </row>
    <row r="27" spans="2:8">
      <c r="B27" t="s">
        <v>924</v>
      </c>
      <c r="C27" t="s">
        <v>926</v>
      </c>
      <c r="D27" t="s">
        <v>910</v>
      </c>
      <c r="E27" t="s">
        <v>923</v>
      </c>
      <c r="F27" t="s">
        <v>904</v>
      </c>
      <c r="G27" t="s">
        <v>897</v>
      </c>
      <c r="H27" t="s">
        <v>922</v>
      </c>
    </row>
    <row r="28" spans="2:8">
      <c r="B28" s="209" t="s">
        <v>240</v>
      </c>
      <c r="C28" s="209"/>
      <c r="D28" s="209"/>
      <c r="E28" s="209"/>
      <c r="F28" s="209"/>
      <c r="G28" s="209"/>
      <c r="H28" t="s">
        <v>529</v>
      </c>
    </row>
    <row r="29" spans="2:8">
      <c r="B29" t="s">
        <v>903</v>
      </c>
      <c r="C29" t="s">
        <v>1102</v>
      </c>
      <c r="D29" t="s">
        <v>1120</v>
      </c>
      <c r="E29" t="s">
        <v>1128</v>
      </c>
      <c r="F29" t="s">
        <v>1083</v>
      </c>
      <c r="G29" t="s">
        <v>1125</v>
      </c>
      <c r="H29" t="s">
        <v>895</v>
      </c>
    </row>
    <row r="30" spans="2:8">
      <c r="B30" s="209" t="s">
        <v>181</v>
      </c>
      <c r="C30" s="209"/>
      <c r="D30" s="209"/>
      <c r="E30" s="209"/>
      <c r="F30" s="209"/>
      <c r="G30" s="209"/>
      <c r="H30" t="s">
        <v>529</v>
      </c>
    </row>
    <row r="31" spans="2:8">
      <c r="B31" t="s">
        <v>1121</v>
      </c>
      <c r="C31" t="s">
        <v>1116</v>
      </c>
      <c r="D31" t="s">
        <v>1130</v>
      </c>
      <c r="E31" t="s">
        <v>1141</v>
      </c>
      <c r="F31" t="s">
        <v>1129</v>
      </c>
      <c r="G31" t="s">
        <v>1117</v>
      </c>
      <c r="H31" t="s">
        <v>1140</v>
      </c>
    </row>
    <row r="32" spans="2:8">
      <c r="B32" s="209" t="s">
        <v>183</v>
      </c>
      <c r="C32" s="209"/>
      <c r="D32" s="209"/>
      <c r="E32" s="209"/>
      <c r="F32" s="209"/>
      <c r="G32" s="209"/>
      <c r="H32" t="s">
        <v>1131</v>
      </c>
    </row>
  </sheetData>
  <mergeCells count="15">
    <mergeCell ref="B26:G26"/>
    <mergeCell ref="B28:G28"/>
    <mergeCell ref="B30:G30"/>
    <mergeCell ref="B32:G32"/>
    <mergeCell ref="B11:G11"/>
    <mergeCell ref="B13:G13"/>
    <mergeCell ref="B15:G15"/>
    <mergeCell ref="B22:G22"/>
    <mergeCell ref="B24:G24"/>
    <mergeCell ref="J4:K4"/>
    <mergeCell ref="B5:G5"/>
    <mergeCell ref="J5:K5"/>
    <mergeCell ref="B7:G7"/>
    <mergeCell ref="B9:G9"/>
    <mergeCell ref="J9:K9"/>
  </mergeCells>
  <phoneticPr fontId="40" type="noConversion"/>
  <pageMargins left="0.74805557727813721" right="0.74805557727813721" top="0.98430556058883667" bottom="0.98430556058883667" header="0.51138889789581299" footer="0.51138889789581299"/>
  <pageSetup paperSize="9" fitToWidth="0" fitToHeight="0" orientation="portrait"/>
</worksheet>
</file>

<file path=docProps/app.xml><?xml version="1.0" encoding="utf-8"?>
<Properties xmlns="http://schemas.openxmlformats.org/officeDocument/2006/extended-properties" xmlns:vt="http://schemas.openxmlformats.org/officeDocument/2006/docPropsVTypes">
  <TotalTime>381</TotalTime>
  <Application>Microsoft Excel</Application>
  <DocSecurity>0</DocSecurity>
  <ScaleCrop>false</ScaleCrop>
  <HeadingPairs>
    <vt:vector size="4" baseType="variant">
      <vt:variant>
        <vt:lpstr>워크시트</vt:lpstr>
      </vt:variant>
      <vt:variant>
        <vt:i4>6</vt:i4>
      </vt:variant>
      <vt:variant>
        <vt:lpstr>이름 지정된 범위</vt:lpstr>
      </vt:variant>
      <vt:variant>
        <vt:i4>33</vt:i4>
      </vt:variant>
    </vt:vector>
  </HeadingPairs>
  <TitlesOfParts>
    <vt:vector size="39" baseType="lpstr">
      <vt:lpstr>TranslatedLanguages</vt:lpstr>
      <vt:lpstr>Schedule</vt:lpstr>
      <vt:lpstr>Progress</vt:lpstr>
      <vt:lpstr>AnalysisReport</vt:lpstr>
      <vt:lpstr>Calendar</vt:lpstr>
      <vt:lpstr>Sheet1</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최재영</cp:lastModifiedBy>
  <cp:revision>22</cp:revision>
  <dcterms:created xsi:type="dcterms:W3CDTF">2018-02-18T09:45:14Z</dcterms:created>
  <dcterms:modified xsi:type="dcterms:W3CDTF">2023-11-17T02:37:09Z</dcterms:modified>
  <cp:version>1100.0100.01</cp:version>
</cp:coreProperties>
</file>